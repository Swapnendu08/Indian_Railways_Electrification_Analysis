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Tutorial\"/>
    </mc:Choice>
  </mc:AlternateContent>
  <xr:revisionPtr revIDLastSave="0" documentId="13_ncr:1_{04F21F6D-4719-4E32-A7A6-31F3D4CF3FB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7.3_Indian_Railway_Network_fro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9" i="1" l="1"/>
  <c r="L28" i="1"/>
  <c r="L27" i="1"/>
  <c r="I29" i="1"/>
  <c r="I28" i="1"/>
  <c r="I27" i="1"/>
  <c r="F28" i="1"/>
  <c r="F29" i="1"/>
  <c r="F27" i="1"/>
  <c r="C28" i="1"/>
  <c r="C29" i="1"/>
  <c r="C27" i="1"/>
  <c r="Z32" i="1"/>
  <c r="AA32" i="1" s="1"/>
  <c r="T32" i="1"/>
  <c r="U32" i="1" s="1"/>
  <c r="Z24" i="1"/>
  <c r="AA24" i="1" s="1"/>
  <c r="T24" i="1"/>
  <c r="U24" i="1" s="1"/>
  <c r="Z16" i="1"/>
  <c r="AA16" i="1" s="1"/>
  <c r="T16" i="1"/>
  <c r="U16" i="1" s="1"/>
</calcChain>
</file>

<file path=xl/sharedStrings.xml><?xml version="1.0" encoding="utf-8"?>
<sst xmlns="http://schemas.openxmlformats.org/spreadsheetml/2006/main" count="101" uniqueCount="38">
  <si>
    <t xml:space="preserve">
</t>
  </si>
  <si>
    <t>Year</t>
  </si>
  <si>
    <t>Total Route (Kms.) - Electrified</t>
  </si>
  <si>
    <t>Total Route (Kms.) - Total</t>
  </si>
  <si>
    <t>Percentage Route
(%) Electrified</t>
  </si>
  <si>
    <t>Running Track (Kms.) - Electrified</t>
  </si>
  <si>
    <t>Running Track (Kms.) - Total</t>
  </si>
  <si>
    <t>Percentage Track 
(%) Electrified</t>
  </si>
  <si>
    <t>Total Track* (Kms.) - Electrified</t>
  </si>
  <si>
    <t>Total Track* (Kms.) -</t>
  </si>
  <si>
    <t>1950-51</t>
  </si>
  <si>
    <t>1960-61</t>
  </si>
  <si>
    <t>1970-71</t>
  </si>
  <si>
    <t>1980-81</t>
  </si>
  <si>
    <t>1990-91</t>
  </si>
  <si>
    <t>1991-92</t>
  </si>
  <si>
    <t>MIN</t>
  </si>
  <si>
    <t>MAX</t>
  </si>
  <si>
    <t>AVG</t>
  </si>
  <si>
    <t>1992-93</t>
  </si>
  <si>
    <t>1993-94</t>
  </si>
  <si>
    <t>1994-95</t>
  </si>
  <si>
    <t>Lower Range</t>
  </si>
  <si>
    <t>Higher Range</t>
  </si>
  <si>
    <t>Total Range</t>
  </si>
  <si>
    <t>Cumulate_Prob</t>
  </si>
  <si>
    <t>1995-96</t>
  </si>
  <si>
    <t>1996-97</t>
  </si>
  <si>
    <t xml:space="preserve">MAX </t>
  </si>
  <si>
    <t>AVERAGE</t>
  </si>
  <si>
    <t>PercentageTotal Track*
(%)  Electrified</t>
  </si>
  <si>
    <t>Random_Res</t>
  </si>
  <si>
    <t>Counter</t>
  </si>
  <si>
    <t>Iterations</t>
  </si>
  <si>
    <t>Average</t>
  </si>
  <si>
    <t>Iteration no.</t>
  </si>
  <si>
    <t>Probabilty Above</t>
  </si>
  <si>
    <t>probabilty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</si>
</sst>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43" fontId="0" fillId="0" borderId="0" xfId="1" applyFont="1"/>
    <xf numFmtId="0" fontId="18" fillId="0" borderId="0" xfId="0" applyFont="1" applyAlignment="1">
      <alignment wrapText="1"/>
    </xf>
    <xf numFmtId="0" fontId="16" fillId="0" borderId="0" xfId="0" applyFont="1"/>
    <xf numFmtId="0" fontId="19" fillId="0" borderId="0" xfId="0" applyFont="1" applyAlignment="1">
      <alignment wrapText="1"/>
    </xf>
    <xf numFmtId="0" fontId="19" fillId="0" borderId="0" xfId="0" applyFont="1"/>
    <xf numFmtId="0" fontId="20" fillId="0" borderId="0" xfId="0" applyFont="1"/>
    <xf numFmtId="0" fontId="18" fillId="33" borderId="0" xfId="0" applyFont="1" applyFill="1" applyAlignment="1">
      <alignment wrapText="1"/>
    </xf>
    <xf numFmtId="0" fontId="0" fillId="33" borderId="0" xfId="0" applyFill="1"/>
    <xf numFmtId="0" fontId="18" fillId="34" borderId="0" xfId="0" applyFont="1" applyFill="1" applyAlignment="1">
      <alignment wrapText="1"/>
    </xf>
    <xf numFmtId="0" fontId="0" fillId="34" borderId="0" xfId="0" applyFill="1"/>
    <xf numFmtId="0" fontId="18" fillId="35" borderId="0" xfId="0" applyFont="1" applyFill="1" applyAlignment="1">
      <alignment wrapText="1"/>
    </xf>
    <xf numFmtId="0" fontId="0" fillId="35" borderId="0" xfId="0" applyFill="1"/>
    <xf numFmtId="0" fontId="16" fillId="36" borderId="0" xfId="0" applyFont="1" applyFill="1"/>
    <xf numFmtId="0" fontId="0" fillId="36" borderId="0" xfId="0" applyFill="1"/>
    <xf numFmtId="0" fontId="16" fillId="33" borderId="0" xfId="0" applyFont="1" applyFill="1"/>
    <xf numFmtId="0" fontId="16" fillId="37" borderId="0" xfId="0" applyFont="1" applyFill="1"/>
    <xf numFmtId="0" fontId="0" fillId="37" borderId="0" xfId="0" applyFill="1"/>
    <xf numFmtId="0" fontId="0" fillId="38" borderId="0" xfId="0" applyFill="1"/>
    <xf numFmtId="0" fontId="16" fillId="38" borderId="0" xfId="0" applyFont="1" applyFill="1"/>
    <xf numFmtId="0" fontId="0" fillId="39" borderId="0" xfId="0" applyFill="1"/>
    <xf numFmtId="0" fontId="16" fillId="39" borderId="0" xfId="0" applyFont="1" applyFill="1"/>
    <xf numFmtId="0" fontId="16" fillId="40" borderId="0" xfId="0" applyFont="1" applyFill="1"/>
    <xf numFmtId="0" fontId="0" fillId="40" borderId="0" xfId="0" applyFill="1"/>
    <xf numFmtId="0" fontId="18" fillId="36" borderId="0" xfId="0" applyFont="1" applyFill="1"/>
    <xf numFmtId="0" fontId="18" fillId="33" borderId="0" xfId="0" applyFont="1" applyFill="1"/>
    <xf numFmtId="0" fontId="21" fillId="0" borderId="0" xfId="0" applyFont="1"/>
    <xf numFmtId="0" fontId="21" fillId="38" borderId="0" xfId="0" applyFont="1" applyFill="1"/>
    <xf numFmtId="0" fontId="18" fillId="38" borderId="0" xfId="0" applyFont="1" applyFill="1"/>
    <xf numFmtId="0" fontId="18" fillId="0" borderId="0" xfId="0" applyFont="1"/>
    <xf numFmtId="0" fontId="18" fillId="37" borderId="0" xfId="0" applyFont="1" applyFill="1"/>
    <xf numFmtId="0" fontId="21" fillId="39" borderId="0" xfId="0" applyFont="1" applyFill="1"/>
    <xf numFmtId="0" fontId="18" fillId="39" borderId="0" xfId="0" applyFont="1" applyFill="1"/>
    <xf numFmtId="0" fontId="18" fillId="40" borderId="0" xfId="0" applyFont="1" applyFill="1"/>
    <xf numFmtId="0" fontId="17" fillId="41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/>
              <a:t>Monte-Carlo</a:t>
            </a:r>
            <a:r>
              <a:rPr lang="en-IN" sz="1800" baseline="0"/>
              <a:t> Simulation </a:t>
            </a:r>
          </a:p>
          <a:p>
            <a:pPr>
              <a:defRPr/>
            </a:pPr>
            <a:r>
              <a:rPr lang="en-IN" sz="1800" baseline="0"/>
              <a:t>Total Route(kms) Electrified</a:t>
            </a:r>
            <a:endParaRPr lang="en-IN" sz="1800"/>
          </a:p>
        </c:rich>
      </c:tx>
      <c:layout>
        <c:manualLayout>
          <c:xMode val="edge"/>
          <c:yMode val="edge"/>
          <c:x val="0.20574931887995707"/>
          <c:y val="2.6648061982972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040003477483296"/>
          <c:y val="0.21994715984147956"/>
          <c:w val="0.77270196312211759"/>
          <c:h val="0.5092764989581057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'7.3_Indian_Railway_Network_from'!$B$33:$B$132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'7.3_Indian_Railway_Network_from'!$C$33:$C$132</c:f>
              <c:numCache>
                <c:formatCode>General</c:formatCode>
                <c:ptCount val="100"/>
                <c:pt idx="0">
                  <c:v>4867.4162067976667</c:v>
                </c:pt>
                <c:pt idx="1">
                  <c:v>4671.5585531040397</c:v>
                </c:pt>
                <c:pt idx="2">
                  <c:v>6522.3099929581604</c:v>
                </c:pt>
                <c:pt idx="3">
                  <c:v>1566.8499112599445</c:v>
                </c:pt>
                <c:pt idx="4">
                  <c:v>4710.5774246930769</c:v>
                </c:pt>
                <c:pt idx="5">
                  <c:v>7465.1433123633578</c:v>
                </c:pt>
                <c:pt idx="6">
                  <c:v>10915.633685479821</c:v>
                </c:pt>
                <c:pt idx="7">
                  <c:v>2412.3484421311177</c:v>
                </c:pt>
                <c:pt idx="8">
                  <c:v>8961.6415152393874</c:v>
                </c:pt>
                <c:pt idx="9">
                  <c:v>10981.387038701116</c:v>
                </c:pt>
                <c:pt idx="10">
                  <c:v>9928.2213016274745</c:v>
                </c:pt>
                <c:pt idx="11">
                  <c:v>7751.2549335458452</c:v>
                </c:pt>
                <c:pt idx="12">
                  <c:v>9509.4219415985244</c:v>
                </c:pt>
                <c:pt idx="13">
                  <c:v>4225.0870765997479</c:v>
                </c:pt>
                <c:pt idx="14">
                  <c:v>9686.4533584004403</c:v>
                </c:pt>
                <c:pt idx="15">
                  <c:v>4414.048722178246</c:v>
                </c:pt>
                <c:pt idx="16">
                  <c:v>7027.1657463895144</c:v>
                </c:pt>
                <c:pt idx="17">
                  <c:v>9926.3246548493298</c:v>
                </c:pt>
                <c:pt idx="18">
                  <c:v>8228.7143741291839</c:v>
                </c:pt>
                <c:pt idx="19">
                  <c:v>8698.2615603634331</c:v>
                </c:pt>
                <c:pt idx="20">
                  <c:v>10037.00204180302</c:v>
                </c:pt>
                <c:pt idx="21">
                  <c:v>9451.7994136752986</c:v>
                </c:pt>
                <c:pt idx="22">
                  <c:v>7236.933944295738</c:v>
                </c:pt>
                <c:pt idx="23">
                  <c:v>7923.4541476381592</c:v>
                </c:pt>
                <c:pt idx="24">
                  <c:v>5489.952304855914</c:v>
                </c:pt>
                <c:pt idx="25">
                  <c:v>10498.502006018689</c:v>
                </c:pt>
                <c:pt idx="26">
                  <c:v>3760.0506400674194</c:v>
                </c:pt>
                <c:pt idx="27">
                  <c:v>8018.1117590840386</c:v>
                </c:pt>
                <c:pt idx="28">
                  <c:v>4877.4245946074607</c:v>
                </c:pt>
                <c:pt idx="29">
                  <c:v>6119.6757203627594</c:v>
                </c:pt>
                <c:pt idx="30">
                  <c:v>10636.960531320587</c:v>
                </c:pt>
                <c:pt idx="31">
                  <c:v>9069.4615994934047</c:v>
                </c:pt>
                <c:pt idx="32">
                  <c:v>4514.7565552623673</c:v>
                </c:pt>
                <c:pt idx="33">
                  <c:v>9572.8612646766614</c:v>
                </c:pt>
                <c:pt idx="34">
                  <c:v>10035.03805929432</c:v>
                </c:pt>
                <c:pt idx="35">
                  <c:v>7693.9660650739543</c:v>
                </c:pt>
                <c:pt idx="36">
                  <c:v>7677.8334972630983</c:v>
                </c:pt>
                <c:pt idx="37">
                  <c:v>11275.227663604452</c:v>
                </c:pt>
                <c:pt idx="38">
                  <c:v>10909.942988572227</c:v>
                </c:pt>
                <c:pt idx="39">
                  <c:v>8089.8596493062842</c:v>
                </c:pt>
                <c:pt idx="40">
                  <c:v>6737.1680976312291</c:v>
                </c:pt>
                <c:pt idx="41">
                  <c:v>6745.5692457460145</c:v>
                </c:pt>
                <c:pt idx="42">
                  <c:v>9535.347272561361</c:v>
                </c:pt>
                <c:pt idx="43">
                  <c:v>8291.4253526778339</c:v>
                </c:pt>
                <c:pt idx="44">
                  <c:v>8555.2727876733297</c:v>
                </c:pt>
                <c:pt idx="45">
                  <c:v>6405.591170285561</c:v>
                </c:pt>
                <c:pt idx="46">
                  <c:v>7123.9701752745559</c:v>
                </c:pt>
                <c:pt idx="47">
                  <c:v>10024.635537045484</c:v>
                </c:pt>
                <c:pt idx="48">
                  <c:v>7813.6395814870739</c:v>
                </c:pt>
                <c:pt idx="49">
                  <c:v>11792.370128302651</c:v>
                </c:pt>
                <c:pt idx="50">
                  <c:v>6237.6740629803744</c:v>
                </c:pt>
                <c:pt idx="51">
                  <c:v>8905.2470817622525</c:v>
                </c:pt>
                <c:pt idx="52">
                  <c:v>9646.1381283711089</c:v>
                </c:pt>
                <c:pt idx="53">
                  <c:v>10515.618557676207</c:v>
                </c:pt>
                <c:pt idx="54">
                  <c:v>4692.655167603496</c:v>
                </c:pt>
                <c:pt idx="55">
                  <c:v>2961.5035192309324</c:v>
                </c:pt>
                <c:pt idx="56">
                  <c:v>10990.401430932212</c:v>
                </c:pt>
                <c:pt idx="57">
                  <c:v>2034.8938504831337</c:v>
                </c:pt>
                <c:pt idx="58">
                  <c:v>10413.227098595313</c:v>
                </c:pt>
                <c:pt idx="59">
                  <c:v>8028.2541830201026</c:v>
                </c:pt>
                <c:pt idx="60">
                  <c:v>4336.7417334841502</c:v>
                </c:pt>
                <c:pt idx="61">
                  <c:v>5429.5512789662189</c:v>
                </c:pt>
                <c:pt idx="62">
                  <c:v>8846.1566064568669</c:v>
                </c:pt>
                <c:pt idx="63">
                  <c:v>11551.785317032525</c:v>
                </c:pt>
                <c:pt idx="64">
                  <c:v>7155.6743537002631</c:v>
                </c:pt>
                <c:pt idx="65">
                  <c:v>9893.1110834384217</c:v>
                </c:pt>
                <c:pt idx="66">
                  <c:v>7113.3187243920029</c:v>
                </c:pt>
                <c:pt idx="67">
                  <c:v>10279.323373917834</c:v>
                </c:pt>
                <c:pt idx="68">
                  <c:v>3851.5250576854455</c:v>
                </c:pt>
                <c:pt idx="69">
                  <c:v>4763.3028840892184</c:v>
                </c:pt>
                <c:pt idx="70">
                  <c:v>5312.9821499524533</c:v>
                </c:pt>
                <c:pt idx="71">
                  <c:v>1009.7905353678242</c:v>
                </c:pt>
                <c:pt idx="72">
                  <c:v>7633.7618595840095</c:v>
                </c:pt>
                <c:pt idx="73">
                  <c:v>8886.9037099532579</c:v>
                </c:pt>
                <c:pt idx="74">
                  <c:v>9033.4143215441145</c:v>
                </c:pt>
                <c:pt idx="75">
                  <c:v>7725.5840432665618</c:v>
                </c:pt>
                <c:pt idx="76">
                  <c:v>7319.841046268788</c:v>
                </c:pt>
                <c:pt idx="77">
                  <c:v>7948.3915605537586</c:v>
                </c:pt>
                <c:pt idx="78">
                  <c:v>10099.292851725873</c:v>
                </c:pt>
                <c:pt idx="79">
                  <c:v>6821.7474396220869</c:v>
                </c:pt>
                <c:pt idx="80">
                  <c:v>4218.9590226944892</c:v>
                </c:pt>
                <c:pt idx="81">
                  <c:v>8277.8626613632659</c:v>
                </c:pt>
                <c:pt idx="82">
                  <c:v>12176.047061187146</c:v>
                </c:pt>
                <c:pt idx="83">
                  <c:v>5075.778477708538</c:v>
                </c:pt>
                <c:pt idx="84">
                  <c:v>4853.1836532946481</c:v>
                </c:pt>
                <c:pt idx="85">
                  <c:v>11131.753916617308</c:v>
                </c:pt>
                <c:pt idx="86">
                  <c:v>4634.7748823113525</c:v>
                </c:pt>
                <c:pt idx="87">
                  <c:v>11747.759398132735</c:v>
                </c:pt>
                <c:pt idx="88">
                  <c:v>6792.4898520498073</c:v>
                </c:pt>
                <c:pt idx="89">
                  <c:v>7019.3665500181096</c:v>
                </c:pt>
                <c:pt idx="90">
                  <c:v>11141.248220169735</c:v>
                </c:pt>
                <c:pt idx="91">
                  <c:v>9361.0729421299275</c:v>
                </c:pt>
                <c:pt idx="92">
                  <c:v>9608.9768182026219</c:v>
                </c:pt>
                <c:pt idx="93">
                  <c:v>7942.4816444958897</c:v>
                </c:pt>
                <c:pt idx="94">
                  <c:v>4186.5339810998921</c:v>
                </c:pt>
                <c:pt idx="95">
                  <c:v>7042.3572960982729</c:v>
                </c:pt>
                <c:pt idx="96">
                  <c:v>9150.2411258450084</c:v>
                </c:pt>
                <c:pt idx="97">
                  <c:v>1471.1196593999557</c:v>
                </c:pt>
                <c:pt idx="98">
                  <c:v>9218.487341379303</c:v>
                </c:pt>
                <c:pt idx="99">
                  <c:v>11812.181301742519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B7-4FB4-B054-400E52EF7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951"/>
        <c:axId val="74626687"/>
      </c:scatterChart>
      <c:valAx>
        <c:axId val="755579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/>
                  <a:t>Iteration</a:t>
                </a:r>
                <a:r>
                  <a:rPr lang="en-IN" sz="2000" baseline="0"/>
                  <a:t> Number</a:t>
                </a:r>
                <a:endParaRPr lang="en-IN" sz="2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687"/>
        <c:crosses val="autoZero"/>
        <c:crossBetween val="midCat"/>
      </c:valAx>
      <c:valAx>
        <c:axId val="7462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/>
                  <a:t>Random_Result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Monte</a:t>
            </a:r>
            <a:r>
              <a:rPr lang="en-IN" baseline="0"/>
              <a:t> Carlo_Simulation</a:t>
            </a:r>
          </a:p>
          <a:p>
            <a:pPr>
              <a:defRPr/>
            </a:pPr>
            <a:r>
              <a:rPr lang="en-IN" baseline="0"/>
              <a:t>Total Route(kms)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'7.3_Indian_Railway_Network_from'!$E$33:$E$132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8-484C-AE6D-2DFBADAC7A26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'7.3_Indian_Railway_Network_from'!$F$33:$F$132</c:f>
              <c:numCache>
                <c:formatCode>General</c:formatCode>
                <c:ptCount val="100"/>
                <c:pt idx="0">
                  <c:v>77616.891965318093</c:v>
                </c:pt>
                <c:pt idx="1">
                  <c:v>77932.706445827862</c:v>
                </c:pt>
                <c:pt idx="2">
                  <c:v>74518.230070649894</c:v>
                </c:pt>
                <c:pt idx="3">
                  <c:v>79059.8005021102</c:v>
                </c:pt>
                <c:pt idx="4">
                  <c:v>69614.97090023366</c:v>
                </c:pt>
                <c:pt idx="5">
                  <c:v>66159.231223058232</c:v>
                </c:pt>
                <c:pt idx="6">
                  <c:v>67225.797424528486</c:v>
                </c:pt>
                <c:pt idx="7">
                  <c:v>62487.064720276248</c:v>
                </c:pt>
                <c:pt idx="8">
                  <c:v>64214.502536518878</c:v>
                </c:pt>
                <c:pt idx="9">
                  <c:v>72496.081269641581</c:v>
                </c:pt>
                <c:pt idx="10">
                  <c:v>68300.618001425435</c:v>
                </c:pt>
                <c:pt idx="11">
                  <c:v>75395.130782925684</c:v>
                </c:pt>
                <c:pt idx="12">
                  <c:v>64884.701915539074</c:v>
                </c:pt>
                <c:pt idx="13">
                  <c:v>72464.550037813824</c:v>
                </c:pt>
                <c:pt idx="14">
                  <c:v>68185.71527903949</c:v>
                </c:pt>
                <c:pt idx="15">
                  <c:v>66073.157209900441</c:v>
                </c:pt>
                <c:pt idx="16">
                  <c:v>75694.017424231817</c:v>
                </c:pt>
                <c:pt idx="17">
                  <c:v>65918.378951011517</c:v>
                </c:pt>
                <c:pt idx="18">
                  <c:v>72754.56669322768</c:v>
                </c:pt>
                <c:pt idx="19">
                  <c:v>75628.114192435314</c:v>
                </c:pt>
                <c:pt idx="20">
                  <c:v>71417.350306754641</c:v>
                </c:pt>
                <c:pt idx="21">
                  <c:v>68725.587811355945</c:v>
                </c:pt>
                <c:pt idx="22">
                  <c:v>73424.017755396926</c:v>
                </c:pt>
                <c:pt idx="23">
                  <c:v>76548.007049253851</c:v>
                </c:pt>
                <c:pt idx="24">
                  <c:v>73887.867190318313</c:v>
                </c:pt>
                <c:pt idx="25">
                  <c:v>74071.355673253303</c:v>
                </c:pt>
                <c:pt idx="26">
                  <c:v>74462.799505689167</c:v>
                </c:pt>
                <c:pt idx="27">
                  <c:v>63373.126723385663</c:v>
                </c:pt>
                <c:pt idx="28">
                  <c:v>67533.865356389899</c:v>
                </c:pt>
                <c:pt idx="29">
                  <c:v>65183.153087932726</c:v>
                </c:pt>
                <c:pt idx="30">
                  <c:v>71788.461402042405</c:v>
                </c:pt>
                <c:pt idx="31">
                  <c:v>64633.184477346796</c:v>
                </c:pt>
                <c:pt idx="32">
                  <c:v>68776.552651287449</c:v>
                </c:pt>
                <c:pt idx="33">
                  <c:v>78010.079241350686</c:v>
                </c:pt>
                <c:pt idx="34">
                  <c:v>75006.248547904936</c:v>
                </c:pt>
                <c:pt idx="35">
                  <c:v>77417.987113005642</c:v>
                </c:pt>
                <c:pt idx="36">
                  <c:v>71437.854435749439</c:v>
                </c:pt>
                <c:pt idx="37">
                  <c:v>75953.109949782331</c:v>
                </c:pt>
                <c:pt idx="38">
                  <c:v>75070.836796058764</c:v>
                </c:pt>
                <c:pt idx="39">
                  <c:v>69277.832855443732</c:v>
                </c:pt>
                <c:pt idx="40">
                  <c:v>71150.421831383384</c:v>
                </c:pt>
                <c:pt idx="41">
                  <c:v>73856.296439512502</c:v>
                </c:pt>
                <c:pt idx="42">
                  <c:v>74312.682531225131</c:v>
                </c:pt>
                <c:pt idx="43">
                  <c:v>72948.134280602797</c:v>
                </c:pt>
                <c:pt idx="44">
                  <c:v>70406.877794916058</c:v>
                </c:pt>
                <c:pt idx="45">
                  <c:v>65247.859338885741</c:v>
                </c:pt>
                <c:pt idx="46">
                  <c:v>78550.117378528172</c:v>
                </c:pt>
                <c:pt idx="47">
                  <c:v>72349.201082190091</c:v>
                </c:pt>
                <c:pt idx="48">
                  <c:v>77451.848063857164</c:v>
                </c:pt>
                <c:pt idx="49">
                  <c:v>76045.448390195408</c:v>
                </c:pt>
                <c:pt idx="50">
                  <c:v>75423.994673025765</c:v>
                </c:pt>
                <c:pt idx="51">
                  <c:v>72502.700397419219</c:v>
                </c:pt>
                <c:pt idx="52">
                  <c:v>73983.106653413954</c:v>
                </c:pt>
                <c:pt idx="53">
                  <c:v>72780.738408663121</c:v>
                </c:pt>
                <c:pt idx="54">
                  <c:v>70562.436647703347</c:v>
                </c:pt>
                <c:pt idx="55">
                  <c:v>79568.162400789792</c:v>
                </c:pt>
                <c:pt idx="56">
                  <c:v>77414.867383693476</c:v>
                </c:pt>
                <c:pt idx="57">
                  <c:v>64510.150378862119</c:v>
                </c:pt>
                <c:pt idx="58">
                  <c:v>80568.314022929044</c:v>
                </c:pt>
                <c:pt idx="59">
                  <c:v>72694.653184085546</c:v>
                </c:pt>
                <c:pt idx="60">
                  <c:v>67667.677183347143</c:v>
                </c:pt>
                <c:pt idx="61">
                  <c:v>73139.284092625545</c:v>
                </c:pt>
                <c:pt idx="62">
                  <c:v>73955.829766130119</c:v>
                </c:pt>
                <c:pt idx="63">
                  <c:v>73937.516376017127</c:v>
                </c:pt>
                <c:pt idx="64">
                  <c:v>66227.945463387499</c:v>
                </c:pt>
                <c:pt idx="65">
                  <c:v>79061.983392548311</c:v>
                </c:pt>
                <c:pt idx="66">
                  <c:v>68349.323096225591</c:v>
                </c:pt>
                <c:pt idx="67">
                  <c:v>76216.813782463418</c:v>
                </c:pt>
                <c:pt idx="68">
                  <c:v>72490.616273316467</c:v>
                </c:pt>
                <c:pt idx="69">
                  <c:v>76603.961660859379</c:v>
                </c:pt>
                <c:pt idx="70">
                  <c:v>73663.620097655279</c:v>
                </c:pt>
                <c:pt idx="71">
                  <c:v>73223.188997404752</c:v>
                </c:pt>
                <c:pt idx="72">
                  <c:v>64345.634084088517</c:v>
                </c:pt>
                <c:pt idx="73">
                  <c:v>64849.421212015099</c:v>
                </c:pt>
                <c:pt idx="74">
                  <c:v>59930.078303805087</c:v>
                </c:pt>
                <c:pt idx="75">
                  <c:v>62839.716822832765</c:v>
                </c:pt>
                <c:pt idx="76">
                  <c:v>64389.83512847672</c:v>
                </c:pt>
                <c:pt idx="77">
                  <c:v>69730.36245656242</c:v>
                </c:pt>
                <c:pt idx="78">
                  <c:v>76153.554673254344</c:v>
                </c:pt>
                <c:pt idx="79">
                  <c:v>71337.67788299243</c:v>
                </c:pt>
                <c:pt idx="80">
                  <c:v>71750.711267818158</c:v>
                </c:pt>
                <c:pt idx="81">
                  <c:v>78205.593889805677</c:v>
                </c:pt>
                <c:pt idx="82">
                  <c:v>70543.823511716051</c:v>
                </c:pt>
                <c:pt idx="83">
                  <c:v>69648.41195829364</c:v>
                </c:pt>
                <c:pt idx="84">
                  <c:v>65776.58003778939</c:v>
                </c:pt>
                <c:pt idx="85">
                  <c:v>78352.981933903851</c:v>
                </c:pt>
                <c:pt idx="86">
                  <c:v>75249.995915269159</c:v>
                </c:pt>
                <c:pt idx="87">
                  <c:v>73056.477366881489</c:v>
                </c:pt>
                <c:pt idx="88">
                  <c:v>61522.872109101954</c:v>
                </c:pt>
                <c:pt idx="89">
                  <c:v>70157.985937860969</c:v>
                </c:pt>
                <c:pt idx="90">
                  <c:v>78706.052098829401</c:v>
                </c:pt>
                <c:pt idx="91">
                  <c:v>67137.893129128628</c:v>
                </c:pt>
                <c:pt idx="92">
                  <c:v>73579.084037698922</c:v>
                </c:pt>
                <c:pt idx="93">
                  <c:v>78986.597388305687</c:v>
                </c:pt>
                <c:pt idx="94">
                  <c:v>63276.733615385099</c:v>
                </c:pt>
                <c:pt idx="95">
                  <c:v>69317.083876418241</c:v>
                </c:pt>
                <c:pt idx="96">
                  <c:v>79755.807801573421</c:v>
                </c:pt>
                <c:pt idx="97">
                  <c:v>71376.094674498003</c:v>
                </c:pt>
                <c:pt idx="98">
                  <c:v>69101.355871893989</c:v>
                </c:pt>
                <c:pt idx="99">
                  <c:v>76902.420639562974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8-484C-AE6D-2DFBADA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219152"/>
        <c:axId val="504935648"/>
      </c:lineChart>
      <c:catAx>
        <c:axId val="3082191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400"/>
                  <a:t>Iteration</a:t>
                </a:r>
                <a:r>
                  <a:rPr lang="en-IN" sz="2400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648"/>
        <c:crosses val="autoZero"/>
        <c:auto val="1"/>
        <c:lblAlgn val="ctr"/>
        <c:lblOffset val="100"/>
        <c:noMultiLvlLbl val="0"/>
      </c:catAx>
      <c:valAx>
        <c:axId val="504935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400"/>
                  <a:t>Random_Res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1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Monte Carlo Simulation</a:t>
            </a:r>
          </a:p>
          <a:p>
            <a:pPr>
              <a:defRPr/>
            </a:pPr>
            <a:r>
              <a:rPr lang="en-IN"/>
              <a:t>Running Track(kms) Electrified</a:t>
            </a:r>
          </a:p>
        </c:rich>
      </c:tx>
      <c:layout>
        <c:manualLayout>
          <c:xMode val="edge"/>
          <c:yMode val="edge"/>
          <c:x val="0.1706318897637795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'7.3_Indian_Railway_Network_from'!$H$33:$H$132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A-4EA9-924A-A16096D71E2E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'7.3_Indian_Railway_Network_from'!$I$33:$I$132</c:f>
              <c:numCache>
                <c:formatCode>General</c:formatCode>
                <c:ptCount val="100"/>
                <c:pt idx="0">
                  <c:v>21292.468589190565</c:v>
                </c:pt>
                <c:pt idx="1">
                  <c:v>14638.434357718701</c:v>
                </c:pt>
                <c:pt idx="2">
                  <c:v>11809.337883759328</c:v>
                </c:pt>
                <c:pt idx="3">
                  <c:v>15472.084095032744</c:v>
                </c:pt>
                <c:pt idx="4">
                  <c:v>19182.626766918012</c:v>
                </c:pt>
                <c:pt idx="5">
                  <c:v>10007.224017158796</c:v>
                </c:pt>
                <c:pt idx="6">
                  <c:v>4021.1389551102088</c:v>
                </c:pt>
                <c:pt idx="7">
                  <c:v>17642.5571893665</c:v>
                </c:pt>
                <c:pt idx="8">
                  <c:v>16616.791536505516</c:v>
                </c:pt>
                <c:pt idx="9">
                  <c:v>14772.620265200787</c:v>
                </c:pt>
                <c:pt idx="10">
                  <c:v>4992.3889451856148</c:v>
                </c:pt>
                <c:pt idx="11">
                  <c:v>13815.048503970082</c:v>
                </c:pt>
                <c:pt idx="12">
                  <c:v>16798.007371339849</c:v>
                </c:pt>
                <c:pt idx="13">
                  <c:v>18302.601969951993</c:v>
                </c:pt>
                <c:pt idx="14">
                  <c:v>4031.6588179613382</c:v>
                </c:pt>
                <c:pt idx="15">
                  <c:v>22787.825207242709</c:v>
                </c:pt>
                <c:pt idx="16">
                  <c:v>3044.9576237332162</c:v>
                </c:pt>
                <c:pt idx="17">
                  <c:v>12365.630697081999</c:v>
                </c:pt>
                <c:pt idx="18">
                  <c:v>17863.933784983754</c:v>
                </c:pt>
                <c:pt idx="19">
                  <c:v>21047.441329820886</c:v>
                </c:pt>
                <c:pt idx="20">
                  <c:v>10365.179321522312</c:v>
                </c:pt>
                <c:pt idx="21">
                  <c:v>19174.126016641072</c:v>
                </c:pt>
                <c:pt idx="22">
                  <c:v>10111.078193905751</c:v>
                </c:pt>
                <c:pt idx="23">
                  <c:v>20968.22160812201</c:v>
                </c:pt>
                <c:pt idx="24">
                  <c:v>15721.990031863834</c:v>
                </c:pt>
                <c:pt idx="25">
                  <c:v>17862.252388934299</c:v>
                </c:pt>
                <c:pt idx="26">
                  <c:v>8015.3580123825377</c:v>
                </c:pt>
                <c:pt idx="27">
                  <c:v>13547.3557771123</c:v>
                </c:pt>
                <c:pt idx="28">
                  <c:v>7547.6134088838235</c:v>
                </c:pt>
                <c:pt idx="29">
                  <c:v>10216.013252926194</c:v>
                </c:pt>
                <c:pt idx="30">
                  <c:v>4952.4746087307722</c:v>
                </c:pt>
                <c:pt idx="31">
                  <c:v>14069.594428354816</c:v>
                </c:pt>
                <c:pt idx="32">
                  <c:v>6901.4479792674711</c:v>
                </c:pt>
                <c:pt idx="33">
                  <c:v>11498.377686191805</c:v>
                </c:pt>
                <c:pt idx="34">
                  <c:v>13616.959290079802</c:v>
                </c:pt>
                <c:pt idx="35">
                  <c:v>15289.947124022128</c:v>
                </c:pt>
                <c:pt idx="36">
                  <c:v>6056.4302984953383</c:v>
                </c:pt>
                <c:pt idx="37">
                  <c:v>11460.652103498507</c:v>
                </c:pt>
                <c:pt idx="38">
                  <c:v>18132.996305676403</c:v>
                </c:pt>
                <c:pt idx="39">
                  <c:v>12902.306002919428</c:v>
                </c:pt>
                <c:pt idx="40">
                  <c:v>14905.14076962985</c:v>
                </c:pt>
                <c:pt idx="41">
                  <c:v>15569.59564104731</c:v>
                </c:pt>
                <c:pt idx="42">
                  <c:v>8136.324105723892</c:v>
                </c:pt>
                <c:pt idx="43">
                  <c:v>17868.333867567544</c:v>
                </c:pt>
                <c:pt idx="44">
                  <c:v>9198.0830541120558</c:v>
                </c:pt>
                <c:pt idx="45">
                  <c:v>23188.240241097737</c:v>
                </c:pt>
                <c:pt idx="46">
                  <c:v>14546.679211609417</c:v>
                </c:pt>
                <c:pt idx="47">
                  <c:v>7673.413893453825</c:v>
                </c:pt>
                <c:pt idx="48">
                  <c:v>1942.6968064667358</c:v>
                </c:pt>
                <c:pt idx="49">
                  <c:v>9614.7620541242086</c:v>
                </c:pt>
                <c:pt idx="50">
                  <c:v>16781.153569726608</c:v>
                </c:pt>
                <c:pt idx="51">
                  <c:v>21745.20547205324</c:v>
                </c:pt>
                <c:pt idx="52">
                  <c:v>15262.525563751833</c:v>
                </c:pt>
                <c:pt idx="53">
                  <c:v>21601.663540225782</c:v>
                </c:pt>
                <c:pt idx="54">
                  <c:v>19877.0705467601</c:v>
                </c:pt>
                <c:pt idx="55">
                  <c:v>17505.518066567434</c:v>
                </c:pt>
                <c:pt idx="56">
                  <c:v>17596.009326666008</c:v>
                </c:pt>
                <c:pt idx="57">
                  <c:v>13556.340687460201</c:v>
                </c:pt>
                <c:pt idx="58">
                  <c:v>9299.11542890696</c:v>
                </c:pt>
                <c:pt idx="59">
                  <c:v>8431.2583909281166</c:v>
                </c:pt>
                <c:pt idx="60">
                  <c:v>20083.910957857966</c:v>
                </c:pt>
                <c:pt idx="61">
                  <c:v>13227.857726625753</c:v>
                </c:pt>
                <c:pt idx="62">
                  <c:v>8764.9807509328439</c:v>
                </c:pt>
                <c:pt idx="63">
                  <c:v>9679.0755644833607</c:v>
                </c:pt>
                <c:pt idx="64">
                  <c:v>20444.45333652736</c:v>
                </c:pt>
                <c:pt idx="65">
                  <c:v>11925.533522912658</c:v>
                </c:pt>
                <c:pt idx="66">
                  <c:v>7713.139733519256</c:v>
                </c:pt>
                <c:pt idx="67">
                  <c:v>11903.61650402701</c:v>
                </c:pt>
                <c:pt idx="68">
                  <c:v>18832.360570488192</c:v>
                </c:pt>
                <c:pt idx="69">
                  <c:v>19603.510169368536</c:v>
                </c:pt>
                <c:pt idx="70">
                  <c:v>16725.097120379665</c:v>
                </c:pt>
                <c:pt idx="71">
                  <c:v>15261.63099360138</c:v>
                </c:pt>
                <c:pt idx="72">
                  <c:v>13378.175603893927</c:v>
                </c:pt>
                <c:pt idx="73">
                  <c:v>14779.323829683835</c:v>
                </c:pt>
                <c:pt idx="74">
                  <c:v>13842.282469708252</c:v>
                </c:pt>
                <c:pt idx="75">
                  <c:v>13527.208214104216</c:v>
                </c:pt>
                <c:pt idx="76">
                  <c:v>11471.134619943303</c:v>
                </c:pt>
                <c:pt idx="77">
                  <c:v>14766.701789475394</c:v>
                </c:pt>
                <c:pt idx="78">
                  <c:v>15340.471744023118</c:v>
                </c:pt>
                <c:pt idx="79">
                  <c:v>9796.2528838653907</c:v>
                </c:pt>
                <c:pt idx="80">
                  <c:v>17491.460171415834</c:v>
                </c:pt>
                <c:pt idx="81">
                  <c:v>11702.742740378915</c:v>
                </c:pt>
                <c:pt idx="82">
                  <c:v>12110.914819810838</c:v>
                </c:pt>
                <c:pt idx="83">
                  <c:v>16434.627927170481</c:v>
                </c:pt>
                <c:pt idx="84">
                  <c:v>11450.342080729444</c:v>
                </c:pt>
                <c:pt idx="85">
                  <c:v>20545.709456236258</c:v>
                </c:pt>
                <c:pt idx="86">
                  <c:v>7790.6884912656942</c:v>
                </c:pt>
                <c:pt idx="87">
                  <c:v>15207.999497676945</c:v>
                </c:pt>
                <c:pt idx="88">
                  <c:v>19765.520684712494</c:v>
                </c:pt>
                <c:pt idx="89">
                  <c:v>16749.179105511743</c:v>
                </c:pt>
                <c:pt idx="90">
                  <c:v>6967.1700506357574</c:v>
                </c:pt>
                <c:pt idx="91">
                  <c:v>8260.1143079464109</c:v>
                </c:pt>
                <c:pt idx="92">
                  <c:v>16152.884327014695</c:v>
                </c:pt>
                <c:pt idx="93">
                  <c:v>9016.4877482575466</c:v>
                </c:pt>
                <c:pt idx="94">
                  <c:v>7265.0842218511016</c:v>
                </c:pt>
                <c:pt idx="95">
                  <c:v>20549.533280238185</c:v>
                </c:pt>
                <c:pt idx="96">
                  <c:v>8016.6341643720762</c:v>
                </c:pt>
                <c:pt idx="97">
                  <c:v>9614.3634936114577</c:v>
                </c:pt>
                <c:pt idx="98">
                  <c:v>12872.712842505798</c:v>
                </c:pt>
                <c:pt idx="99">
                  <c:v>12104.827176669143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A-4EA9-924A-A16096D7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350752"/>
        <c:axId val="624185744"/>
      </c:lineChart>
      <c:catAx>
        <c:axId val="59135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Iteration_No.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185744"/>
        <c:crosses val="autoZero"/>
        <c:auto val="1"/>
        <c:lblAlgn val="ctr"/>
        <c:lblOffset val="100"/>
        <c:noMultiLvlLbl val="0"/>
      </c:catAx>
      <c:valAx>
        <c:axId val="62418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Random_Res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Monte</a:t>
            </a:r>
            <a:r>
              <a:rPr lang="en-IN" baseline="0"/>
              <a:t> Carlo Simulation</a:t>
            </a:r>
          </a:p>
          <a:p>
            <a:pPr>
              <a:defRPr/>
            </a:pPr>
            <a:r>
              <a:rPr lang="en-IN" baseline="0"/>
              <a:t>Total_Track_Electrified(kms)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09492563429573"/>
          <c:y val="0.2573611111111111"/>
          <c:w val="0.80934951881014872"/>
          <c:h val="0.44544728783902021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'7.3_Indian_Railway_Network_from'!$K$33:$K$132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0-48E0-97A7-4947E4226BA1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'7.3_Indian_Railway_Network_from'!$L$33:$L$132</c:f>
              <c:numCache>
                <c:formatCode>General</c:formatCode>
                <c:ptCount val="100"/>
                <c:pt idx="0">
                  <c:v>15901.412615603018</c:v>
                </c:pt>
                <c:pt idx="1">
                  <c:v>24324.242856438206</c:v>
                </c:pt>
                <c:pt idx="2">
                  <c:v>24840.395380556802</c:v>
                </c:pt>
                <c:pt idx="3">
                  <c:v>26506.952966568053</c:v>
                </c:pt>
                <c:pt idx="4">
                  <c:v>18251.760928005875</c:v>
                </c:pt>
                <c:pt idx="5">
                  <c:v>15461.830167503245</c:v>
                </c:pt>
                <c:pt idx="6">
                  <c:v>19446.284353388452</c:v>
                </c:pt>
                <c:pt idx="7">
                  <c:v>20912.240556183016</c:v>
                </c:pt>
                <c:pt idx="8">
                  <c:v>25378.251052756765</c:v>
                </c:pt>
                <c:pt idx="9">
                  <c:v>22197.310491375982</c:v>
                </c:pt>
                <c:pt idx="10">
                  <c:v>26017.470348625106</c:v>
                </c:pt>
                <c:pt idx="11">
                  <c:v>12477.191848907996</c:v>
                </c:pt>
                <c:pt idx="12">
                  <c:v>23257.2574899147</c:v>
                </c:pt>
                <c:pt idx="13">
                  <c:v>19622.140887621699</c:v>
                </c:pt>
                <c:pt idx="14">
                  <c:v>22006.451388899273</c:v>
                </c:pt>
                <c:pt idx="15">
                  <c:v>14318.134905849072</c:v>
                </c:pt>
                <c:pt idx="16">
                  <c:v>14219.53781027345</c:v>
                </c:pt>
                <c:pt idx="17">
                  <c:v>6612.0432990358549</c:v>
                </c:pt>
                <c:pt idx="18">
                  <c:v>19837.492214122445</c:v>
                </c:pt>
                <c:pt idx="19">
                  <c:v>22170.174057117045</c:v>
                </c:pt>
                <c:pt idx="20">
                  <c:v>13759.109757226368</c:v>
                </c:pt>
                <c:pt idx="21">
                  <c:v>26144.091018888059</c:v>
                </c:pt>
                <c:pt idx="22">
                  <c:v>8168.5430761570706</c:v>
                </c:pt>
                <c:pt idx="23">
                  <c:v>20928.442582924603</c:v>
                </c:pt>
                <c:pt idx="24">
                  <c:v>19380.92466143359</c:v>
                </c:pt>
                <c:pt idx="25">
                  <c:v>20069.314328392058</c:v>
                </c:pt>
                <c:pt idx="26">
                  <c:v>23745.875035739449</c:v>
                </c:pt>
                <c:pt idx="27">
                  <c:v>13675.828601587142</c:v>
                </c:pt>
                <c:pt idx="28">
                  <c:v>20959.877099618599</c:v>
                </c:pt>
                <c:pt idx="29">
                  <c:v>7618.0942961604005</c:v>
                </c:pt>
                <c:pt idx="30">
                  <c:v>9062.6021410167705</c:v>
                </c:pt>
                <c:pt idx="31">
                  <c:v>8134.8267645961805</c:v>
                </c:pt>
                <c:pt idx="32">
                  <c:v>13437.471788879504</c:v>
                </c:pt>
                <c:pt idx="33">
                  <c:v>11061.516434138031</c:v>
                </c:pt>
                <c:pt idx="34">
                  <c:v>27265.698629341234</c:v>
                </c:pt>
                <c:pt idx="35">
                  <c:v>17514.074839930465</c:v>
                </c:pt>
                <c:pt idx="36">
                  <c:v>21015.313576917877</c:v>
                </c:pt>
                <c:pt idx="37">
                  <c:v>7406.9326649579098</c:v>
                </c:pt>
                <c:pt idx="38">
                  <c:v>19726.26152333511</c:v>
                </c:pt>
                <c:pt idx="39">
                  <c:v>28187.425691959103</c:v>
                </c:pt>
                <c:pt idx="40">
                  <c:v>22757.00814073244</c:v>
                </c:pt>
                <c:pt idx="41">
                  <c:v>13632.308544652427</c:v>
                </c:pt>
                <c:pt idx="42">
                  <c:v>31139.745434523556</c:v>
                </c:pt>
                <c:pt idx="43">
                  <c:v>4939.8115957271775</c:v>
                </c:pt>
                <c:pt idx="44">
                  <c:v>24267.776242675514</c:v>
                </c:pt>
                <c:pt idx="45">
                  <c:v>21613.951349840398</c:v>
                </c:pt>
                <c:pt idx="46">
                  <c:v>15540.440781002917</c:v>
                </c:pt>
                <c:pt idx="47">
                  <c:v>23487.021759224102</c:v>
                </c:pt>
                <c:pt idx="48">
                  <c:v>25116.299223511258</c:v>
                </c:pt>
                <c:pt idx="49">
                  <c:v>20632.362336333077</c:v>
                </c:pt>
                <c:pt idx="50">
                  <c:v>19211.690915330444</c:v>
                </c:pt>
                <c:pt idx="51">
                  <c:v>13662.533152982724</c:v>
                </c:pt>
                <c:pt idx="52">
                  <c:v>27897.929456661681</c:v>
                </c:pt>
                <c:pt idx="53">
                  <c:v>19797.807595512899</c:v>
                </c:pt>
                <c:pt idx="54">
                  <c:v>7616.4727733396858</c:v>
                </c:pt>
                <c:pt idx="55">
                  <c:v>21129.177198587808</c:v>
                </c:pt>
                <c:pt idx="56">
                  <c:v>19067.389820021435</c:v>
                </c:pt>
                <c:pt idx="57">
                  <c:v>11879.207967973591</c:v>
                </c:pt>
                <c:pt idx="58">
                  <c:v>6898.1578682093113</c:v>
                </c:pt>
                <c:pt idx="59">
                  <c:v>19174.163091179507</c:v>
                </c:pt>
                <c:pt idx="60">
                  <c:v>11838.492755430578</c:v>
                </c:pt>
                <c:pt idx="61">
                  <c:v>31053.311802866861</c:v>
                </c:pt>
                <c:pt idx="62">
                  <c:v>10321.337863108229</c:v>
                </c:pt>
                <c:pt idx="63">
                  <c:v>24297.021213064676</c:v>
                </c:pt>
                <c:pt idx="64">
                  <c:v>11784.127222217314</c:v>
                </c:pt>
                <c:pt idx="65">
                  <c:v>14008.264300084673</c:v>
                </c:pt>
                <c:pt idx="66">
                  <c:v>20399.450787859249</c:v>
                </c:pt>
                <c:pt idx="67">
                  <c:v>22176.946254451566</c:v>
                </c:pt>
                <c:pt idx="68">
                  <c:v>10669.973787040797</c:v>
                </c:pt>
                <c:pt idx="69">
                  <c:v>16469.387457596753</c:v>
                </c:pt>
                <c:pt idx="70">
                  <c:v>12674.408363165563</c:v>
                </c:pt>
                <c:pt idx="71">
                  <c:v>18470.390877027487</c:v>
                </c:pt>
                <c:pt idx="72">
                  <c:v>22581.827693987758</c:v>
                </c:pt>
                <c:pt idx="73">
                  <c:v>18142.575170108157</c:v>
                </c:pt>
                <c:pt idx="74">
                  <c:v>22622.359589519961</c:v>
                </c:pt>
                <c:pt idx="75">
                  <c:v>14190.594768714378</c:v>
                </c:pt>
                <c:pt idx="76">
                  <c:v>22020.726313644493</c:v>
                </c:pt>
                <c:pt idx="77">
                  <c:v>26807.6099135191</c:v>
                </c:pt>
                <c:pt idx="78">
                  <c:v>12862.671542289927</c:v>
                </c:pt>
                <c:pt idx="79">
                  <c:v>21825.243207070518</c:v>
                </c:pt>
                <c:pt idx="80">
                  <c:v>30469.330508312672</c:v>
                </c:pt>
                <c:pt idx="81">
                  <c:v>20774.324997492589</c:v>
                </c:pt>
                <c:pt idx="82">
                  <c:v>11415.188459359833</c:v>
                </c:pt>
                <c:pt idx="83">
                  <c:v>22284.607514519648</c:v>
                </c:pt>
                <c:pt idx="84">
                  <c:v>28802.012877918136</c:v>
                </c:pt>
                <c:pt idx="85">
                  <c:v>20597.007541660427</c:v>
                </c:pt>
                <c:pt idx="86">
                  <c:v>17956.842859867062</c:v>
                </c:pt>
                <c:pt idx="87">
                  <c:v>23849.393906020727</c:v>
                </c:pt>
                <c:pt idx="88">
                  <c:v>17012.363223928409</c:v>
                </c:pt>
                <c:pt idx="89">
                  <c:v>20288.180595317146</c:v>
                </c:pt>
                <c:pt idx="90">
                  <c:v>14113.098308002971</c:v>
                </c:pt>
                <c:pt idx="91">
                  <c:v>22439.058769180883</c:v>
                </c:pt>
                <c:pt idx="92">
                  <c:v>21271.121142860837</c:v>
                </c:pt>
                <c:pt idx="93">
                  <c:v>18117.989797659808</c:v>
                </c:pt>
                <c:pt idx="94">
                  <c:v>16896.847455813273</c:v>
                </c:pt>
                <c:pt idx="95">
                  <c:v>12807.285605947054</c:v>
                </c:pt>
                <c:pt idx="96">
                  <c:v>17011.827196457234</c:v>
                </c:pt>
                <c:pt idx="97">
                  <c:v>20828.609271008518</c:v>
                </c:pt>
                <c:pt idx="98">
                  <c:v>9429.7231124588416</c:v>
                </c:pt>
                <c:pt idx="99">
                  <c:v>24933.14288229333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0-48E0-97A7-4947E4226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391264"/>
        <c:axId val="667527856"/>
      </c:lineChart>
      <c:catAx>
        <c:axId val="5853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iTERATION_nO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7856"/>
        <c:crosses val="autoZero"/>
        <c:auto val="1"/>
        <c:lblAlgn val="ctr"/>
        <c:lblOffset val="100"/>
        <c:noMultiLvlLbl val="0"/>
      </c:catAx>
      <c:valAx>
        <c:axId val="6675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RADOM_rES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39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205740</xdr:colOff>
      <xdr:row>0</xdr:row>
      <xdr:rowOff>7621</xdr:rowOff>
    </xdr:from>
    <xdr:ext cx="8031480" cy="8763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A58A4B-336D-230E-E1CC-34CA2C114636}"/>
            </a:ext>
          </a:extLst>
        </xdr:cNvPr>
        <xdr:cNvSpPr txBox="1"/>
      </xdr:nvSpPr>
      <xdr:spPr>
        <a:xfrm>
          <a:off x="1424940" y="7621"/>
          <a:ext cx="8031480" cy="8763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IN" sz="2400" b="1">
              <a:latin typeface="Aptos Display" panose="020B0004020202020204" pitchFamily="34" charset="0"/>
            </a:rPr>
            <a:t>INDIAN</a:t>
          </a:r>
          <a:r>
            <a:rPr lang="en-IN" sz="2400" b="1" baseline="0">
              <a:latin typeface="Aptos Display" panose="020B0004020202020204" pitchFamily="34" charset="0"/>
            </a:rPr>
            <a:t> RAILWAY ELECTRIFICATION DETAILED ANALYSIS</a:t>
          </a:r>
        </a:p>
        <a:p>
          <a:pPr algn="ctr"/>
          <a:r>
            <a:rPr lang="en-IN" sz="2400" b="1" baseline="0">
              <a:latin typeface="Aptos Display" panose="020B0004020202020204" pitchFamily="34" charset="0"/>
            </a:rPr>
            <a:t>(1950-1997)</a:t>
          </a:r>
          <a:endParaRPr lang="en-IN" sz="2400" b="1">
            <a:latin typeface="Aptos Display" panose="020B0004020202020204" pitchFamily="34" charset="0"/>
          </a:endParaRPr>
        </a:p>
      </xdr:txBody>
    </xdr:sp>
    <xdr:clientData/>
  </xdr:oneCellAnchor>
  <xdr:oneCellAnchor>
    <xdr:from>
      <xdr:col>16</xdr:col>
      <xdr:colOff>30480</xdr:colOff>
      <xdr:row>8</xdr:row>
      <xdr:rowOff>220980</xdr:rowOff>
    </xdr:from>
    <xdr:ext cx="2880360" cy="38862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D6D0E-D4BA-EF47-F834-C87CA093EE4F}"/>
            </a:ext>
          </a:extLst>
        </xdr:cNvPr>
        <xdr:cNvSpPr txBox="1"/>
      </xdr:nvSpPr>
      <xdr:spPr>
        <a:xfrm>
          <a:off x="10957560" y="2590800"/>
          <a:ext cx="2880360" cy="38862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 b="1"/>
            <a:t>Total Route (Kms.) - Electrified</a:t>
          </a:r>
        </a:p>
      </xdr:txBody>
    </xdr:sp>
    <xdr:clientData/>
  </xdr:oneCellAnchor>
  <xdr:oneCellAnchor>
    <xdr:from>
      <xdr:col>22</xdr:col>
      <xdr:colOff>22860</xdr:colOff>
      <xdr:row>9</xdr:row>
      <xdr:rowOff>38100</xdr:rowOff>
    </xdr:from>
    <xdr:ext cx="3299460" cy="3200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2814FC0-0613-46FF-B89F-841E528384FB}"/>
            </a:ext>
          </a:extLst>
        </xdr:cNvPr>
        <xdr:cNvSpPr txBox="1"/>
      </xdr:nvSpPr>
      <xdr:spPr>
        <a:xfrm>
          <a:off x="14919960" y="2636520"/>
          <a:ext cx="3299460" cy="3200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IN" sz="1600" b="1"/>
            <a:t>Total Route (Kms.)</a:t>
          </a:r>
        </a:p>
      </xdr:txBody>
    </xdr:sp>
    <xdr:clientData/>
  </xdr:oneCellAnchor>
  <xdr:oneCellAnchor>
    <xdr:from>
      <xdr:col>16</xdr:col>
      <xdr:colOff>0</xdr:colOff>
      <xdr:row>17</xdr:row>
      <xdr:rowOff>0</xdr:rowOff>
    </xdr:from>
    <xdr:ext cx="3215640" cy="342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E01F8A-9C2D-468F-A97D-ABE483A1B802}"/>
            </a:ext>
          </a:extLst>
        </xdr:cNvPr>
        <xdr:cNvSpPr txBox="1"/>
      </xdr:nvSpPr>
      <xdr:spPr>
        <a:xfrm>
          <a:off x="10927080" y="4427220"/>
          <a:ext cx="321564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Running</a:t>
          </a:r>
          <a:r>
            <a:rPr lang="en-IN" sz="1600" b="1" baseline="0"/>
            <a:t> Track</a:t>
          </a:r>
          <a:r>
            <a:rPr lang="en-IN" sz="1600" b="1"/>
            <a:t>(Kms.) - Electrified</a:t>
          </a:r>
        </a:p>
      </xdr:txBody>
    </xdr:sp>
    <xdr:clientData/>
  </xdr:oneCellAnchor>
  <xdr:oneCellAnchor>
    <xdr:from>
      <xdr:col>22</xdr:col>
      <xdr:colOff>0</xdr:colOff>
      <xdr:row>17</xdr:row>
      <xdr:rowOff>0</xdr:rowOff>
    </xdr:from>
    <xdr:ext cx="3390900" cy="342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4764749-A853-46A8-AB50-7EE0261CF0D7}"/>
            </a:ext>
          </a:extLst>
        </xdr:cNvPr>
        <xdr:cNvSpPr txBox="1"/>
      </xdr:nvSpPr>
      <xdr:spPr>
        <a:xfrm>
          <a:off x="14897100" y="4427220"/>
          <a:ext cx="339090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Running</a:t>
          </a:r>
          <a:r>
            <a:rPr lang="en-IN" sz="1600" b="1" baseline="0"/>
            <a:t> Track</a:t>
          </a:r>
          <a:r>
            <a:rPr lang="en-IN" sz="1600" b="1"/>
            <a:t>(Kms.) Total</a:t>
          </a:r>
        </a:p>
      </xdr:txBody>
    </xdr:sp>
    <xdr:clientData/>
  </xdr:oneCellAnchor>
  <xdr:oneCellAnchor>
    <xdr:from>
      <xdr:col>16</xdr:col>
      <xdr:colOff>0</xdr:colOff>
      <xdr:row>25</xdr:row>
      <xdr:rowOff>0</xdr:rowOff>
    </xdr:from>
    <xdr:ext cx="3291840" cy="34278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F803323-685F-4B4F-ABAA-DC8007213E98}"/>
            </a:ext>
          </a:extLst>
        </xdr:cNvPr>
        <xdr:cNvSpPr txBox="1"/>
      </xdr:nvSpPr>
      <xdr:spPr>
        <a:xfrm>
          <a:off x="10927080" y="6027420"/>
          <a:ext cx="329184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Total Track (Kms.) - Electrified</a:t>
          </a:r>
        </a:p>
      </xdr:txBody>
    </xdr:sp>
    <xdr:clientData/>
  </xdr:oneCellAnchor>
  <xdr:oneCellAnchor>
    <xdr:from>
      <xdr:col>22</xdr:col>
      <xdr:colOff>0</xdr:colOff>
      <xdr:row>25</xdr:row>
      <xdr:rowOff>0</xdr:rowOff>
    </xdr:from>
    <xdr:ext cx="3474720" cy="342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F015E9B-0FC2-41F9-8DB0-96BFE5295AEC}"/>
            </a:ext>
          </a:extLst>
        </xdr:cNvPr>
        <xdr:cNvSpPr txBox="1"/>
      </xdr:nvSpPr>
      <xdr:spPr>
        <a:xfrm>
          <a:off x="14897100" y="6027420"/>
          <a:ext cx="347472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Total Track (Kms.) </a:t>
          </a:r>
        </a:p>
      </xdr:txBody>
    </xdr:sp>
    <xdr:clientData/>
  </xdr:oneCellAnchor>
  <xdr:oneCellAnchor>
    <xdr:from>
      <xdr:col>14</xdr:col>
      <xdr:colOff>373380</xdr:colOff>
      <xdr:row>0</xdr:row>
      <xdr:rowOff>182880</xdr:rowOff>
    </xdr:from>
    <xdr:ext cx="6499860" cy="246888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4E05A3-E950-705F-0621-02CF4A79D0B8}"/>
            </a:ext>
          </a:extLst>
        </xdr:cNvPr>
        <xdr:cNvSpPr txBox="1"/>
      </xdr:nvSpPr>
      <xdr:spPr>
        <a:xfrm>
          <a:off x="10081260" y="182880"/>
          <a:ext cx="6499860" cy="246888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800" b="1"/>
            <a:t>Triangular Distribution</a:t>
          </a:r>
          <a:r>
            <a:rPr lang="en-IN" sz="1800" b="1" baseline="0"/>
            <a:t> Random Number Generator</a:t>
          </a:r>
        </a:p>
        <a:p>
          <a:r>
            <a:rPr lang="en-IN" sz="1600" i="1" baseline="0"/>
            <a:t>Lower Range=Mode-Min</a:t>
          </a:r>
        </a:p>
        <a:p>
          <a:r>
            <a:rPr lang="en-IN" sz="1600" i="1" baseline="0"/>
            <a:t>Higher Range=Max-Mode</a:t>
          </a:r>
        </a:p>
        <a:p>
          <a:r>
            <a:rPr lang="en-IN" sz="1600" i="1" baseline="0"/>
            <a:t>Total Range=Max-Min</a:t>
          </a:r>
        </a:p>
        <a:p>
          <a:r>
            <a:rPr lang="en-IN" sz="1600" i="1" baseline="0"/>
            <a:t>Cumulate_Prob=</a:t>
          </a:r>
          <a:r>
            <a:rPr lang="en-IN" sz="1600" b="1" i="1" baseline="0"/>
            <a:t>RAND()</a:t>
          </a:r>
        </a:p>
        <a:p>
          <a:r>
            <a:rPr lang="en-IN" sz="1600" i="1" baseline="0"/>
            <a:t>if cumulate_Prob &lt;(Lower Range/Total Range) then</a:t>
          </a:r>
        </a:p>
        <a:p>
          <a:r>
            <a:rPr lang="en-IN" sz="1600" i="1" baseline="0"/>
            <a:t>       Random_Res=Min+sqrt(cumulate_Prob*Lower Range*Total Range</a:t>
          </a:r>
        </a:p>
        <a:p>
          <a:r>
            <a:rPr lang="en-IN" sz="1600" i="1" baseline="0"/>
            <a:t>else</a:t>
          </a:r>
        </a:p>
        <a:p>
          <a:r>
            <a:rPr lang="en-IN" sz="1600" i="1" baseline="0"/>
            <a:t>       Random_Res=Max-sqrt((1-cumulate_Prob)*Higher Range*Total Range</a:t>
          </a:r>
          <a:endParaRPr lang="en-IN" sz="1600" i="1"/>
        </a:p>
      </xdr:txBody>
    </xdr:sp>
    <xdr:clientData/>
  </xdr:oneCellAnchor>
  <xdr:twoCellAnchor>
    <xdr:from>
      <xdr:col>13</xdr:col>
      <xdr:colOff>502557</xdr:colOff>
      <xdr:row>34</xdr:row>
      <xdr:rowOff>21046</xdr:rowOff>
    </xdr:from>
    <xdr:to>
      <xdr:col>20</xdr:col>
      <xdr:colOff>157843</xdr:colOff>
      <xdr:row>49</xdr:row>
      <xdr:rowOff>159112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7DEE8C9-5FC2-0FBA-7F3F-5A4B9CBDF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</xdr:colOff>
      <xdr:row>22</xdr:row>
      <xdr:rowOff>58058</xdr:rowOff>
    </xdr:from>
    <xdr:ext cx="1865086" cy="319314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57FACB1-7211-4BD5-9735-4574F6C18DA8}"/>
            </a:ext>
          </a:extLst>
        </xdr:cNvPr>
        <xdr:cNvSpPr txBox="1"/>
      </xdr:nvSpPr>
      <xdr:spPr>
        <a:xfrm>
          <a:off x="776515" y="5776687"/>
          <a:ext cx="1865086" cy="31931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 b="1"/>
            <a:t>Total Route (Kms.) - Electrified</a:t>
          </a:r>
        </a:p>
      </xdr:txBody>
    </xdr:sp>
    <xdr:clientData/>
  </xdr:oneCellAnchor>
  <xdr:oneCellAnchor>
    <xdr:from>
      <xdr:col>3</xdr:col>
      <xdr:colOff>537029</xdr:colOff>
      <xdr:row>22</xdr:row>
      <xdr:rowOff>43542</xdr:rowOff>
    </xdr:from>
    <xdr:ext cx="1586774" cy="32004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B9A2EEA-2ED0-4C99-A465-C28B945E86CE}"/>
            </a:ext>
          </a:extLst>
        </xdr:cNvPr>
        <xdr:cNvSpPr txBox="1"/>
      </xdr:nvSpPr>
      <xdr:spPr>
        <a:xfrm>
          <a:off x="3135086" y="5762171"/>
          <a:ext cx="1586774" cy="3200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IN" sz="1600" b="1"/>
            <a:t>Total Route (Kms.)</a:t>
          </a:r>
        </a:p>
      </xdr:txBody>
    </xdr:sp>
    <xdr:clientData/>
  </xdr:oneCellAnchor>
  <xdr:twoCellAnchor>
    <xdr:from>
      <xdr:col>13</xdr:col>
      <xdr:colOff>531173</xdr:colOff>
      <xdr:row>50</xdr:row>
      <xdr:rowOff>95251</xdr:rowOff>
    </xdr:from>
    <xdr:to>
      <xdr:col>20</xdr:col>
      <xdr:colOff>164523</xdr:colOff>
      <xdr:row>66</xdr:row>
      <xdr:rowOff>95251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8DA17ED-0978-46D7-4E84-7F94189A4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754674</xdr:colOff>
      <xdr:row>22</xdr:row>
      <xdr:rowOff>80596</xdr:rowOff>
    </xdr:from>
    <xdr:ext cx="2982057" cy="29307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85B56F2-178C-4FBD-8B52-BE4EE12FBAFF}"/>
            </a:ext>
          </a:extLst>
        </xdr:cNvPr>
        <xdr:cNvSpPr txBox="1"/>
      </xdr:nvSpPr>
      <xdr:spPr>
        <a:xfrm>
          <a:off x="5033597" y="5736981"/>
          <a:ext cx="2982057" cy="2930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IN" sz="1600" b="1"/>
            <a:t>Running</a:t>
          </a:r>
          <a:r>
            <a:rPr lang="en-IN" sz="1600" b="1" baseline="0"/>
            <a:t> Track</a:t>
          </a:r>
          <a:r>
            <a:rPr lang="en-IN" sz="1600" b="1"/>
            <a:t>(Kms.) - Electrified</a:t>
          </a:r>
        </a:p>
      </xdr:txBody>
    </xdr:sp>
    <xdr:clientData/>
  </xdr:oneCellAnchor>
  <xdr:twoCellAnchor>
    <xdr:from>
      <xdr:col>13</xdr:col>
      <xdr:colOff>523875</xdr:colOff>
      <xdr:row>66</xdr:row>
      <xdr:rowOff>130419</xdr:rowOff>
    </xdr:from>
    <xdr:to>
      <xdr:col>20</xdr:col>
      <xdr:colOff>117232</xdr:colOff>
      <xdr:row>81</xdr:row>
      <xdr:rowOff>126023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4B8C73D-3467-0CFE-F295-901235AD2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380999</xdr:colOff>
      <xdr:row>22</xdr:row>
      <xdr:rowOff>51288</xdr:rowOff>
    </xdr:from>
    <xdr:ext cx="2727667" cy="34278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E35E5F4-4490-477A-A4B4-53646405DDE0}"/>
            </a:ext>
          </a:extLst>
        </xdr:cNvPr>
        <xdr:cNvSpPr txBox="1"/>
      </xdr:nvSpPr>
      <xdr:spPr>
        <a:xfrm>
          <a:off x="8022980" y="5707673"/>
          <a:ext cx="2727667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600" b="1"/>
            <a:t>Total Track (Kms.) - Electrified</a:t>
          </a:r>
        </a:p>
      </xdr:txBody>
    </xdr:sp>
    <xdr:clientData/>
  </xdr:oneCellAnchor>
  <xdr:twoCellAnchor>
    <xdr:from>
      <xdr:col>13</xdr:col>
      <xdr:colOff>516548</xdr:colOff>
      <xdr:row>82</xdr:row>
      <xdr:rowOff>71804</xdr:rowOff>
    </xdr:from>
    <xdr:to>
      <xdr:col>20</xdr:col>
      <xdr:colOff>139211</xdr:colOff>
      <xdr:row>97</xdr:row>
      <xdr:rowOff>67408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70D63B6-FD98-ECED-FBDB-0B7FD2490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32"/>
  <sheetViews>
    <sheetView tabSelected="1" zoomScale="104" workbookViewId="0">
      <selection activeCell="X48" sqref="X48"/>
    </sheetView>
  </sheetViews>
  <sheetFormatPr defaultRowHeight="14.4" x14ac:dyDescent="0.3"/>
  <cols>
    <col min="1" max="1" width="11.33203125" customWidth="1"/>
    <col min="2" max="2" width="14.88671875" bestFit="1" customWidth="1"/>
    <col min="3" max="3" width="11.6640625" bestFit="1" customWidth="1"/>
    <col min="4" max="4" width="9.6640625" customWidth="1"/>
    <col min="5" max="5" width="15" bestFit="1" customWidth="1"/>
    <col min="6" max="6" width="11.6640625" bestFit="1" customWidth="1"/>
    <col min="7" max="7" width="10.5546875" customWidth="1"/>
    <col min="8" max="8" width="15.21875" bestFit="1" customWidth="1"/>
    <col min="9" max="9" width="11.6640625" bestFit="1" customWidth="1"/>
    <col min="11" max="11" width="15.21875" bestFit="1" customWidth="1"/>
    <col min="12" max="12" width="13.5546875" bestFit="1" customWidth="1"/>
    <col min="13" max="13" width="11.6640625" customWidth="1"/>
    <col min="17" max="17" width="11.77734375" bestFit="1" customWidth="1"/>
    <col min="18" max="18" width="12.109375" bestFit="1" customWidth="1"/>
    <col min="19" max="19" width="10.88671875" bestFit="1" customWidth="1"/>
    <col min="20" max="20" width="14.21875" bestFit="1" customWidth="1"/>
    <col min="21" max="21" width="14.21875" customWidth="1"/>
    <col min="23" max="23" width="11.77734375" bestFit="1" customWidth="1"/>
    <col min="24" max="24" width="12.109375" bestFit="1" customWidth="1"/>
    <col min="25" max="25" width="10.88671875" bestFit="1" customWidth="1"/>
    <col min="26" max="26" width="14.21875" bestFit="1" customWidth="1"/>
    <col min="27" max="27" width="14.21875" customWidth="1"/>
  </cols>
  <sheetData>
    <row r="1" spans="1:28" ht="28.8" x14ac:dyDescent="0.3">
      <c r="A1" s="2"/>
      <c r="G1" s="1" t="s">
        <v>0</v>
      </c>
    </row>
    <row r="6" spans="1:28" ht="78.599999999999994" x14ac:dyDescent="0.35">
      <c r="A6" s="5" t="s">
        <v>1</v>
      </c>
      <c r="B6" s="1"/>
      <c r="C6" s="8" t="s">
        <v>2</v>
      </c>
      <c r="D6" s="8" t="s">
        <v>3</v>
      </c>
      <c r="E6" s="8" t="s">
        <v>4</v>
      </c>
      <c r="F6" s="3"/>
      <c r="G6" s="10" t="s">
        <v>5</v>
      </c>
      <c r="H6" s="10" t="s">
        <v>6</v>
      </c>
      <c r="I6" s="10" t="s">
        <v>7</v>
      </c>
      <c r="J6" s="3"/>
      <c r="K6" s="12" t="s">
        <v>8</v>
      </c>
      <c r="L6" s="12" t="s">
        <v>9</v>
      </c>
      <c r="M6" s="12" t="s">
        <v>30</v>
      </c>
      <c r="N6" s="1"/>
    </row>
    <row r="7" spans="1:28" ht="18" x14ac:dyDescent="0.35">
      <c r="A7" s="6" t="s">
        <v>10</v>
      </c>
      <c r="C7" s="9">
        <v>388</v>
      </c>
      <c r="D7" s="9">
        <v>53596</v>
      </c>
      <c r="E7" s="9">
        <v>0.72399999999999998</v>
      </c>
      <c r="G7" s="11">
        <v>937</v>
      </c>
      <c r="H7" s="11">
        <v>59315</v>
      </c>
      <c r="I7" s="11">
        <v>1.58</v>
      </c>
      <c r="K7" s="13">
        <v>1253</v>
      </c>
      <c r="L7" s="13">
        <v>77609</v>
      </c>
      <c r="M7" s="13">
        <v>1.615</v>
      </c>
    </row>
    <row r="8" spans="1:28" ht="18" x14ac:dyDescent="0.35">
      <c r="A8" s="6" t="s">
        <v>11</v>
      </c>
      <c r="C8" s="9">
        <v>748</v>
      </c>
      <c r="D8" s="9">
        <v>56247</v>
      </c>
      <c r="E8" s="9">
        <v>1.33</v>
      </c>
      <c r="G8" s="11">
        <v>1752</v>
      </c>
      <c r="H8" s="11">
        <v>63602</v>
      </c>
      <c r="I8" s="11">
        <v>2.7549999999999999</v>
      </c>
      <c r="K8" s="13">
        <v>2258</v>
      </c>
      <c r="L8" s="13">
        <v>83706</v>
      </c>
      <c r="M8" s="13">
        <v>2.698</v>
      </c>
    </row>
    <row r="9" spans="1:28" ht="18" x14ac:dyDescent="0.35">
      <c r="A9" s="6" t="s">
        <v>12</v>
      </c>
      <c r="C9" s="9">
        <v>3706</v>
      </c>
      <c r="D9" s="9">
        <v>59790</v>
      </c>
      <c r="E9" s="9">
        <v>6.1980000000000004</v>
      </c>
      <c r="G9" s="11">
        <v>7447</v>
      </c>
      <c r="H9" s="11">
        <v>71669</v>
      </c>
      <c r="I9" s="11">
        <v>10.391</v>
      </c>
      <c r="K9" s="13">
        <v>9586</v>
      </c>
      <c r="L9" s="13">
        <v>98546</v>
      </c>
      <c r="M9" s="13">
        <v>9.7270000000000003</v>
      </c>
    </row>
    <row r="10" spans="1:28" ht="18" x14ac:dyDescent="0.35">
      <c r="A10" s="6" t="s">
        <v>13</v>
      </c>
      <c r="C10" s="9">
        <v>5345</v>
      </c>
      <c r="D10" s="9">
        <v>61240</v>
      </c>
      <c r="E10" s="9">
        <v>8.7279999999999998</v>
      </c>
      <c r="G10" s="11">
        <v>10474</v>
      </c>
      <c r="H10" s="11">
        <v>75860</v>
      </c>
      <c r="I10" s="11">
        <v>13.807</v>
      </c>
      <c r="K10" s="13">
        <v>13448</v>
      </c>
      <c r="L10" s="13">
        <v>104480</v>
      </c>
      <c r="M10" s="13">
        <v>12.871</v>
      </c>
    </row>
    <row r="11" spans="1:28" ht="18" x14ac:dyDescent="0.35">
      <c r="A11" s="6" t="s">
        <v>14</v>
      </c>
      <c r="C11" s="9">
        <v>9968</v>
      </c>
      <c r="D11" s="9">
        <v>62367</v>
      </c>
      <c r="E11" s="9">
        <v>15.983000000000001</v>
      </c>
      <c r="G11" s="11">
        <v>18954</v>
      </c>
      <c r="H11" s="11">
        <v>78607</v>
      </c>
      <c r="I11" s="11">
        <v>24.111999999999998</v>
      </c>
      <c r="K11" s="13">
        <v>25305</v>
      </c>
      <c r="L11" s="13">
        <v>108858</v>
      </c>
      <c r="M11" s="13">
        <v>23.245999999999999</v>
      </c>
    </row>
    <row r="12" spans="1:28" ht="18" x14ac:dyDescent="0.35">
      <c r="A12" s="6" t="s">
        <v>15</v>
      </c>
      <c r="C12" s="9">
        <v>10653</v>
      </c>
      <c r="D12" s="9">
        <v>62458</v>
      </c>
      <c r="E12" s="9">
        <v>17.056000000000001</v>
      </c>
      <c r="G12" s="11">
        <v>20049</v>
      </c>
      <c r="H12" s="11">
        <v>78969</v>
      </c>
      <c r="I12" s="11">
        <v>25.388000000000002</v>
      </c>
      <c r="K12" s="13">
        <v>26585</v>
      </c>
      <c r="L12" s="13">
        <v>109338</v>
      </c>
      <c r="M12" s="13">
        <v>24.315000000000001</v>
      </c>
      <c r="Q12" s="25"/>
      <c r="R12" s="25" t="s">
        <v>16</v>
      </c>
      <c r="S12" s="25" t="s">
        <v>17</v>
      </c>
      <c r="T12" s="25" t="s">
        <v>18</v>
      </c>
      <c r="U12" s="25"/>
      <c r="V12" s="4"/>
      <c r="W12" s="26"/>
      <c r="X12" s="26" t="s">
        <v>16</v>
      </c>
      <c r="Y12" s="26" t="s">
        <v>17</v>
      </c>
      <c r="Z12" s="26" t="s">
        <v>18</v>
      </c>
      <c r="AA12" s="26"/>
    </row>
    <row r="13" spans="1:28" ht="18" x14ac:dyDescent="0.35">
      <c r="A13" s="6" t="s">
        <v>19</v>
      </c>
      <c r="C13" s="9">
        <v>11064</v>
      </c>
      <c r="D13" s="9">
        <v>62486</v>
      </c>
      <c r="E13" s="9">
        <v>17.706</v>
      </c>
      <c r="G13" s="11">
        <v>20819</v>
      </c>
      <c r="H13" s="11">
        <v>79200</v>
      </c>
      <c r="I13" s="11">
        <v>26.286999999999999</v>
      </c>
      <c r="K13" s="13">
        <v>27423</v>
      </c>
      <c r="L13" s="13">
        <v>109149</v>
      </c>
      <c r="M13" s="13">
        <v>25.123999999999999</v>
      </c>
      <c r="Q13" s="15"/>
      <c r="R13" s="15">
        <v>388</v>
      </c>
      <c r="S13" s="15">
        <v>13018</v>
      </c>
      <c r="T13" s="15">
        <v>8202.5450000000001</v>
      </c>
      <c r="U13" s="15"/>
      <c r="W13" s="9"/>
      <c r="X13" s="9">
        <v>53596</v>
      </c>
      <c r="Y13" s="9">
        <v>62915</v>
      </c>
      <c r="Z13" s="9">
        <v>60813.273000000001</v>
      </c>
      <c r="AA13" s="9"/>
    </row>
    <row r="14" spans="1:28" ht="18" x14ac:dyDescent="0.35">
      <c r="A14" s="6" t="s">
        <v>20</v>
      </c>
      <c r="C14" s="9">
        <v>11260</v>
      </c>
      <c r="D14" s="9">
        <v>62462</v>
      </c>
      <c r="E14" s="9">
        <v>18.027000000000001</v>
      </c>
      <c r="G14" s="11">
        <v>21223</v>
      </c>
      <c r="H14" s="11">
        <v>79188</v>
      </c>
      <c r="I14" s="11">
        <v>26.800999999999998</v>
      </c>
      <c r="K14" s="13">
        <v>27898</v>
      </c>
      <c r="L14" s="13">
        <v>108920</v>
      </c>
      <c r="M14" s="13">
        <v>25.613</v>
      </c>
      <c r="Q14" s="15"/>
      <c r="R14" s="15"/>
      <c r="S14" s="15"/>
      <c r="T14" s="15"/>
      <c r="U14" s="15"/>
      <c r="W14" s="9"/>
      <c r="X14" s="9"/>
      <c r="Y14" s="9"/>
      <c r="Z14" s="9"/>
      <c r="AA14" s="9"/>
    </row>
    <row r="15" spans="1:28" ht="18" x14ac:dyDescent="0.35">
      <c r="A15" s="6" t="s">
        <v>21</v>
      </c>
      <c r="C15" s="9">
        <v>11772</v>
      </c>
      <c r="D15" s="9">
        <v>62660</v>
      </c>
      <c r="E15" s="9">
        <v>18.786999999999999</v>
      </c>
      <c r="G15" s="11">
        <v>21866</v>
      </c>
      <c r="H15" s="11">
        <v>79495</v>
      </c>
      <c r="I15" s="11">
        <v>27.506</v>
      </c>
      <c r="K15" s="13">
        <v>28648</v>
      </c>
      <c r="L15" s="13">
        <v>108513</v>
      </c>
      <c r="M15" s="13">
        <v>26.401</v>
      </c>
      <c r="Q15" s="14" t="s">
        <v>22</v>
      </c>
      <c r="R15" s="14" t="s">
        <v>23</v>
      </c>
      <c r="S15" s="14" t="s">
        <v>24</v>
      </c>
      <c r="T15" s="14" t="s">
        <v>25</v>
      </c>
      <c r="U15" s="14" t="s">
        <v>31</v>
      </c>
      <c r="V15" s="4"/>
      <c r="W15" s="16" t="s">
        <v>22</v>
      </c>
      <c r="X15" s="16" t="s">
        <v>23</v>
      </c>
      <c r="Y15" s="16" t="s">
        <v>24</v>
      </c>
      <c r="Z15" s="16" t="s">
        <v>25</v>
      </c>
      <c r="AA15" s="16" t="s">
        <v>31</v>
      </c>
      <c r="AB15" s="4"/>
    </row>
    <row r="16" spans="1:28" ht="18" x14ac:dyDescent="0.35">
      <c r="A16" s="6" t="s">
        <v>26</v>
      </c>
      <c r="C16" s="9">
        <v>12306</v>
      </c>
      <c r="D16" s="9">
        <v>62915</v>
      </c>
      <c r="E16" s="9">
        <v>19.559999999999999</v>
      </c>
      <c r="G16" s="11">
        <v>22684</v>
      </c>
      <c r="H16" s="11">
        <v>80441</v>
      </c>
      <c r="I16" s="11">
        <v>28.2</v>
      </c>
      <c r="K16" s="13">
        <v>29425</v>
      </c>
      <c r="L16" s="13">
        <v>108336</v>
      </c>
      <c r="M16" s="13">
        <v>27.161000000000001</v>
      </c>
      <c r="Q16" s="15">
        <v>7814.5450000000001</v>
      </c>
      <c r="R16" s="15">
        <v>4815.4549999999999</v>
      </c>
      <c r="S16" s="15">
        <v>12630</v>
      </c>
      <c r="T16" s="15">
        <f ca="1">RAND()</f>
        <v>5.8674071307189379E-2</v>
      </c>
      <c r="U16" s="15">
        <f ca="1">IF(T16&lt;(Q16/S16),R13+SQRT(T16*Q16*S16),S13-SQRT((1-T16)*R16*S16))</f>
        <v>2794.4488534381371</v>
      </c>
      <c r="W16" s="9">
        <v>7217.2730000000001</v>
      </c>
      <c r="X16" s="9">
        <v>2101.7269999999999</v>
      </c>
      <c r="Y16" s="9">
        <v>62915</v>
      </c>
      <c r="Z16" s="9">
        <f ca="1">RAND()</f>
        <v>0.28652517747626705</v>
      </c>
      <c r="AA16" s="9">
        <f ca="1">IF(Z16&lt;(W16/Y16),X13+SQRT(Z16*W16*Y16),Y13-SQRT((1-Z16)*X16*Y16))</f>
        <v>53201.973396325004</v>
      </c>
    </row>
    <row r="17" spans="1:27" ht="18" x14ac:dyDescent="0.35">
      <c r="A17" s="6" t="s">
        <v>27</v>
      </c>
      <c r="C17" s="9">
        <v>13018</v>
      </c>
      <c r="D17" s="9">
        <v>62725</v>
      </c>
      <c r="E17" s="9">
        <v>20.754000000000001</v>
      </c>
      <c r="G17" s="11">
        <v>24101</v>
      </c>
      <c r="H17" s="11">
        <v>80754</v>
      </c>
      <c r="I17" s="11">
        <v>29.844999999999999</v>
      </c>
      <c r="K17" s="13">
        <v>31583</v>
      </c>
      <c r="L17" s="13">
        <v>107360</v>
      </c>
      <c r="M17" s="13">
        <v>29.417999999999999</v>
      </c>
    </row>
    <row r="19" spans="1:27" ht="15.6" x14ac:dyDescent="0.3"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</row>
    <row r="20" spans="1:27" ht="18" x14ac:dyDescent="0.35">
      <c r="A20" s="6" t="s">
        <v>28</v>
      </c>
      <c r="C20" s="7">
        <v>13018</v>
      </c>
      <c r="D20" s="7">
        <v>62915</v>
      </c>
      <c r="E20" s="7"/>
      <c r="F20" s="7"/>
      <c r="G20" s="7">
        <v>24101</v>
      </c>
      <c r="H20" s="7">
        <v>80754</v>
      </c>
      <c r="I20" s="7"/>
      <c r="J20" s="7"/>
      <c r="K20" s="7">
        <v>31583</v>
      </c>
      <c r="L20" s="7">
        <v>109338</v>
      </c>
      <c r="Q20" s="28"/>
      <c r="R20" s="29" t="s">
        <v>16</v>
      </c>
      <c r="S20" s="29" t="s">
        <v>17</v>
      </c>
      <c r="T20" s="29" t="s">
        <v>18</v>
      </c>
      <c r="U20" s="29"/>
      <c r="V20" s="30"/>
      <c r="W20" s="31"/>
      <c r="X20" s="31" t="s">
        <v>16</v>
      </c>
      <c r="Y20" s="31" t="s">
        <v>17</v>
      </c>
      <c r="Z20" s="31" t="s">
        <v>18</v>
      </c>
      <c r="AA20" s="31"/>
    </row>
    <row r="21" spans="1:27" ht="18" x14ac:dyDescent="0.35">
      <c r="A21" s="6" t="s">
        <v>16</v>
      </c>
      <c r="C21" s="7">
        <v>388</v>
      </c>
      <c r="D21" s="7">
        <v>53596</v>
      </c>
      <c r="E21" s="7"/>
      <c r="F21" s="7"/>
      <c r="G21" s="7">
        <v>937</v>
      </c>
      <c r="H21" s="7">
        <v>59315</v>
      </c>
      <c r="I21" s="7"/>
      <c r="J21" s="7"/>
      <c r="K21" s="7">
        <v>1253</v>
      </c>
      <c r="L21" s="7">
        <v>77609</v>
      </c>
      <c r="Q21" s="19"/>
      <c r="R21" s="19">
        <v>937</v>
      </c>
      <c r="S21" s="19">
        <v>24101</v>
      </c>
      <c r="T21" s="19">
        <v>15482.364</v>
      </c>
      <c r="U21" s="19"/>
      <c r="W21" s="18"/>
      <c r="X21" s="18">
        <v>59315</v>
      </c>
      <c r="Y21" s="18">
        <v>80754</v>
      </c>
      <c r="Z21" s="18">
        <v>75190.909</v>
      </c>
      <c r="AA21" s="18"/>
    </row>
    <row r="22" spans="1:27" ht="18" x14ac:dyDescent="0.35">
      <c r="A22" s="6" t="s">
        <v>29</v>
      </c>
      <c r="C22" s="7">
        <v>8202.5450000000001</v>
      </c>
      <c r="D22" s="7">
        <v>60813.273000000001</v>
      </c>
      <c r="E22" s="7"/>
      <c r="F22" s="7"/>
      <c r="G22" s="7">
        <v>15482.364</v>
      </c>
      <c r="H22" s="7">
        <v>75190.909</v>
      </c>
      <c r="I22" s="7"/>
      <c r="J22" s="7"/>
      <c r="K22" s="7">
        <v>20310.182000000001</v>
      </c>
      <c r="L22" s="7">
        <v>102255.909</v>
      </c>
      <c r="Q22" s="19"/>
      <c r="R22" s="19"/>
      <c r="S22" s="19"/>
      <c r="T22" s="19"/>
      <c r="U22" s="19"/>
      <c r="W22" s="18"/>
      <c r="X22" s="18"/>
      <c r="Y22" s="18"/>
      <c r="Z22" s="18"/>
      <c r="AA22" s="18"/>
    </row>
    <row r="23" spans="1:27" x14ac:dyDescent="0.3">
      <c r="Q23" s="20" t="s">
        <v>22</v>
      </c>
      <c r="R23" s="20" t="s">
        <v>23</v>
      </c>
      <c r="S23" s="20" t="s">
        <v>24</v>
      </c>
      <c r="T23" s="20" t="s">
        <v>25</v>
      </c>
      <c r="U23" s="20" t="s">
        <v>31</v>
      </c>
      <c r="V23" s="4"/>
      <c r="W23" s="17" t="s">
        <v>22</v>
      </c>
      <c r="X23" s="17" t="s">
        <v>23</v>
      </c>
      <c r="Y23" s="17" t="s">
        <v>24</v>
      </c>
      <c r="Z23" s="17" t="s">
        <v>25</v>
      </c>
      <c r="AA23" s="17" t="s">
        <v>31</v>
      </c>
    </row>
    <row r="24" spans="1:27" x14ac:dyDescent="0.3">
      <c r="Q24" s="19">
        <v>14545.364</v>
      </c>
      <c r="R24" s="19">
        <v>8618.6360000000004</v>
      </c>
      <c r="S24" s="19">
        <v>23164</v>
      </c>
      <c r="T24" s="19">
        <f ca="1">RAND()</f>
        <v>0.7910807146064327</v>
      </c>
      <c r="U24" s="19">
        <f ca="1">IF(T24&lt;(Q24/S24),R21+SQRT(T24*Q24*S24),S21-SQRT((1-T24)*R24*S24))</f>
        <v>17642.743146384313</v>
      </c>
      <c r="W24" s="18">
        <v>15875.909</v>
      </c>
      <c r="X24" s="18">
        <v>5563.0910000000003</v>
      </c>
      <c r="Y24" s="18">
        <v>21439</v>
      </c>
      <c r="Z24" s="18">
        <f ca="1">RAND()</f>
        <v>0.27719063333017091</v>
      </c>
      <c r="AA24" s="18">
        <f ca="1">IF(Z24&lt;(W24/Y24),X21+SQRT(Z24*W24*Y24),Y21-SQRT((1-Z24)*X24*Y24))</f>
        <v>69028.166603335485</v>
      </c>
    </row>
    <row r="25" spans="1:27" ht="15.6" x14ac:dyDescent="0.3">
      <c r="B25" t="s">
        <v>32</v>
      </c>
      <c r="C25" s="7">
        <v>100</v>
      </c>
      <c r="E25" t="s">
        <v>32</v>
      </c>
      <c r="F25" s="7">
        <v>100</v>
      </c>
      <c r="H25" t="s">
        <v>32</v>
      </c>
      <c r="I25" s="7">
        <v>100</v>
      </c>
      <c r="K25" t="s">
        <v>32</v>
      </c>
      <c r="L25" s="7">
        <v>100</v>
      </c>
    </row>
    <row r="26" spans="1:27" x14ac:dyDescent="0.3">
      <c r="B26" t="s">
        <v>33</v>
      </c>
      <c r="C26">
        <v>100</v>
      </c>
      <c r="E26" t="s">
        <v>33</v>
      </c>
      <c r="F26">
        <v>100</v>
      </c>
      <c r="H26" t="s">
        <v>33</v>
      </c>
      <c r="I26">
        <v>100</v>
      </c>
      <c r="K26" t="s">
        <v>33</v>
      </c>
      <c r="L26">
        <v>100</v>
      </c>
    </row>
    <row r="27" spans="1:27" x14ac:dyDescent="0.3">
      <c r="B27" t="s">
        <v>34</v>
      </c>
      <c r="C27">
        <f>T13</f>
        <v>8202.5450000000001</v>
      </c>
      <c r="E27" t="s">
        <v>34</v>
      </c>
      <c r="F27">
        <f>Z21</f>
        <v>75190.909</v>
      </c>
      <c r="H27" t="s">
        <v>34</v>
      </c>
      <c r="I27">
        <f>T21</f>
        <v>15482.364</v>
      </c>
      <c r="K27" t="s">
        <v>34</v>
      </c>
      <c r="L27">
        <f>T29</f>
        <v>20310.182000000001</v>
      </c>
    </row>
    <row r="28" spans="1:27" ht="15.6" x14ac:dyDescent="0.3">
      <c r="B28" t="s">
        <v>36</v>
      </c>
      <c r="C28">
        <f>COUNTIF(C33:C1033,"&gt;8202.545")/C26</f>
        <v>1.79</v>
      </c>
      <c r="E28" t="s">
        <v>36</v>
      </c>
      <c r="F28">
        <f>COUNTIF(F33:F1033,"&gt;75190.9")/F26</f>
        <v>0.28000000000000003</v>
      </c>
      <c r="H28" t="s">
        <v>36</v>
      </c>
      <c r="I28">
        <f>COUNTIF(I33:I1033,"&gt;15482.364")/I26</f>
        <v>0.35</v>
      </c>
      <c r="K28" t="s">
        <v>36</v>
      </c>
      <c r="L28">
        <f>COUNTIF(L33:L1033,"&gt;20310.182")/L26</f>
        <v>0.45</v>
      </c>
      <c r="Q28" s="32"/>
      <c r="R28" s="33" t="s">
        <v>16</v>
      </c>
      <c r="S28" s="33" t="s">
        <v>17</v>
      </c>
      <c r="T28" s="33" t="s">
        <v>18</v>
      </c>
      <c r="U28" s="33"/>
      <c r="V28" s="30"/>
      <c r="W28" s="34"/>
      <c r="X28" s="34" t="s">
        <v>16</v>
      </c>
      <c r="Y28" s="34" t="s">
        <v>17</v>
      </c>
      <c r="Z28" s="34" t="s">
        <v>18</v>
      </c>
      <c r="AA28" s="34"/>
    </row>
    <row r="29" spans="1:27" x14ac:dyDescent="0.3">
      <c r="B29" t="s">
        <v>37</v>
      </c>
      <c r="C29">
        <f>COUNTIF(C33:C1033,"&lt;=8202.545")/C26</f>
        <v>3.21</v>
      </c>
      <c r="E29" t="s">
        <v>37</v>
      </c>
      <c r="F29">
        <f>COUNTIF(F33:F1033,"&lt;=75190.9")/F26</f>
        <v>0.72</v>
      </c>
      <c r="H29" t="s">
        <v>37</v>
      </c>
      <c r="I29">
        <f>COUNTIF(I33:I1033,"&lt;=15482.364")/I26</f>
        <v>0.65</v>
      </c>
      <c r="K29" t="s">
        <v>37</v>
      </c>
      <c r="L29">
        <f>COUNTIF(L33:L1033,"&lt;=20310.182")/L26</f>
        <v>0.55000000000000004</v>
      </c>
      <c r="Q29" s="21"/>
      <c r="R29" s="21">
        <v>1253</v>
      </c>
      <c r="S29" s="21">
        <v>31583</v>
      </c>
      <c r="T29" s="21">
        <v>20310.182000000001</v>
      </c>
      <c r="U29" s="21"/>
      <c r="W29" s="24"/>
      <c r="X29" s="24">
        <v>77609</v>
      </c>
      <c r="Y29" s="24">
        <v>109338</v>
      </c>
      <c r="Z29" s="24">
        <v>102255.909</v>
      </c>
      <c r="AA29" s="24"/>
    </row>
    <row r="30" spans="1:27" x14ac:dyDescent="0.3">
      <c r="Q30" s="21"/>
      <c r="R30" s="21"/>
      <c r="S30" s="21"/>
      <c r="T30" s="21"/>
      <c r="U30" s="21"/>
      <c r="W30" s="24"/>
      <c r="X30" s="24"/>
      <c r="Y30" s="24"/>
      <c r="Z30" s="24"/>
      <c r="AA30" s="24"/>
    </row>
    <row r="31" spans="1:27" x14ac:dyDescent="0.3">
      <c r="Q31" s="22" t="s">
        <v>22</v>
      </c>
      <c r="R31" s="22" t="s">
        <v>23</v>
      </c>
      <c r="S31" s="22" t="s">
        <v>24</v>
      </c>
      <c r="T31" s="22" t="s">
        <v>25</v>
      </c>
      <c r="U31" s="22" t="s">
        <v>31</v>
      </c>
      <c r="V31" s="4"/>
      <c r="W31" s="23" t="s">
        <v>22</v>
      </c>
      <c r="X31" s="23" t="s">
        <v>23</v>
      </c>
      <c r="Y31" s="23" t="s">
        <v>24</v>
      </c>
      <c r="Z31" s="23" t="s">
        <v>25</v>
      </c>
      <c r="AA31" s="23" t="s">
        <v>31</v>
      </c>
    </row>
    <row r="32" spans="1:27" x14ac:dyDescent="0.3">
      <c r="B32" s="35" t="s">
        <v>35</v>
      </c>
      <c r="C32" s="35" t="s">
        <v>31</v>
      </c>
      <c r="E32" s="35" t="s">
        <v>35</v>
      </c>
      <c r="F32" s="35" t="s">
        <v>31</v>
      </c>
      <c r="H32" s="35" t="s">
        <v>35</v>
      </c>
      <c r="I32" s="35" t="s">
        <v>31</v>
      </c>
      <c r="K32" s="35" t="s">
        <v>35</v>
      </c>
      <c r="L32" s="35" t="s">
        <v>31</v>
      </c>
      <c r="Q32" s="21">
        <v>19057.182000000001</v>
      </c>
      <c r="R32" s="21">
        <v>11272.817999999999</v>
      </c>
      <c r="S32" s="21">
        <v>30330</v>
      </c>
      <c r="T32" s="21">
        <f ca="1">RAND()</f>
        <v>0.86705361913247558</v>
      </c>
      <c r="U32" s="21">
        <f ca="1">IF(T32&lt;(Q32/S32),R29+SQRT(T32*Q32*S32),S29-SQRT((1-T32)*R32*S32))</f>
        <v>24840.969506477268</v>
      </c>
      <c r="W32" s="24">
        <v>24646.909</v>
      </c>
      <c r="X32" s="24">
        <v>7082.0910000000003</v>
      </c>
      <c r="Y32" s="24">
        <v>31729</v>
      </c>
      <c r="Z32" s="24">
        <f ca="1">RAND()</f>
        <v>0.4110920591262649</v>
      </c>
      <c r="AA32" s="24">
        <f ca="1">IF(Z32&lt;(W32/Y32),X29+SQRT(Z32*W32*Y32),Y29-SQRT((1-Z32)*X32*Y32))</f>
        <v>95538.945399751174</v>
      </c>
    </row>
    <row r="33" spans="2:12" x14ac:dyDescent="0.3">
      <c r="B33">
        <v>1</v>
      </c>
      <c r="C33">
        <v>4867.4162067976667</v>
      </c>
      <c r="E33">
        <v>1</v>
      </c>
      <c r="F33">
        <v>77616.891965318093</v>
      </c>
      <c r="H33">
        <v>1</v>
      </c>
      <c r="I33">
        <v>21292.468589190565</v>
      </c>
      <c r="K33">
        <v>1</v>
      </c>
      <c r="L33">
        <v>15901.412615603018</v>
      </c>
    </row>
    <row r="34" spans="2:12" x14ac:dyDescent="0.3">
      <c r="B34">
        <v>2</v>
      </c>
      <c r="C34">
        <v>4671.5585531040397</v>
      </c>
      <c r="E34">
        <v>2</v>
      </c>
      <c r="F34">
        <v>77932.706445827862</v>
      </c>
      <c r="H34">
        <v>2</v>
      </c>
      <c r="I34">
        <v>14638.434357718701</v>
      </c>
      <c r="K34">
        <v>2</v>
      </c>
      <c r="L34">
        <v>24324.242856438206</v>
      </c>
    </row>
    <row r="35" spans="2:12" x14ac:dyDescent="0.3">
      <c r="B35">
        <v>3</v>
      </c>
      <c r="C35">
        <v>6522.3099929581604</v>
      </c>
      <c r="E35">
        <v>3</v>
      </c>
      <c r="F35">
        <v>74518.230070649894</v>
      </c>
      <c r="H35">
        <v>3</v>
      </c>
      <c r="I35">
        <v>11809.337883759328</v>
      </c>
      <c r="K35">
        <v>3</v>
      </c>
      <c r="L35">
        <v>24840.395380556802</v>
      </c>
    </row>
    <row r="36" spans="2:12" x14ac:dyDescent="0.3">
      <c r="B36">
        <v>4</v>
      </c>
      <c r="C36">
        <v>1566.8499112599445</v>
      </c>
      <c r="E36">
        <v>4</v>
      </c>
      <c r="F36">
        <v>79059.8005021102</v>
      </c>
      <c r="H36">
        <v>4</v>
      </c>
      <c r="I36">
        <v>15472.084095032744</v>
      </c>
      <c r="K36">
        <v>4</v>
      </c>
      <c r="L36">
        <v>26506.952966568053</v>
      </c>
    </row>
    <row r="37" spans="2:12" x14ac:dyDescent="0.3">
      <c r="B37">
        <v>5</v>
      </c>
      <c r="C37">
        <v>4710.5774246930769</v>
      </c>
      <c r="E37">
        <v>5</v>
      </c>
      <c r="F37">
        <v>69614.97090023366</v>
      </c>
      <c r="H37">
        <v>5</v>
      </c>
      <c r="I37">
        <v>19182.626766918012</v>
      </c>
      <c r="K37">
        <v>5</v>
      </c>
      <c r="L37">
        <v>18251.760928005875</v>
      </c>
    </row>
    <row r="38" spans="2:12" x14ac:dyDescent="0.3">
      <c r="B38">
        <v>6</v>
      </c>
      <c r="C38">
        <v>7465.1433123633578</v>
      </c>
      <c r="E38">
        <v>6</v>
      </c>
      <c r="F38">
        <v>66159.231223058232</v>
      </c>
      <c r="H38">
        <v>6</v>
      </c>
      <c r="I38">
        <v>10007.224017158796</v>
      </c>
      <c r="K38">
        <v>6</v>
      </c>
      <c r="L38">
        <v>15461.830167503245</v>
      </c>
    </row>
    <row r="39" spans="2:12" x14ac:dyDescent="0.3">
      <c r="B39">
        <v>7</v>
      </c>
      <c r="C39">
        <v>10915.633685479821</v>
      </c>
      <c r="E39">
        <v>7</v>
      </c>
      <c r="F39">
        <v>67225.797424528486</v>
      </c>
      <c r="H39">
        <v>7</v>
      </c>
      <c r="I39">
        <v>4021.1389551102088</v>
      </c>
      <c r="K39">
        <v>7</v>
      </c>
      <c r="L39">
        <v>19446.284353388452</v>
      </c>
    </row>
    <row r="40" spans="2:12" x14ac:dyDescent="0.3">
      <c r="B40">
        <v>8</v>
      </c>
      <c r="C40">
        <v>2412.3484421311177</v>
      </c>
      <c r="E40">
        <v>8</v>
      </c>
      <c r="F40">
        <v>62487.064720276248</v>
      </c>
      <c r="H40">
        <v>8</v>
      </c>
      <c r="I40">
        <v>17642.5571893665</v>
      </c>
      <c r="K40">
        <v>8</v>
      </c>
      <c r="L40">
        <v>20912.240556183016</v>
      </c>
    </row>
    <row r="41" spans="2:12" x14ac:dyDescent="0.3">
      <c r="B41">
        <v>9</v>
      </c>
      <c r="C41">
        <v>8961.6415152393874</v>
      </c>
      <c r="E41">
        <v>9</v>
      </c>
      <c r="F41">
        <v>64214.502536518878</v>
      </c>
      <c r="H41">
        <v>9</v>
      </c>
      <c r="I41">
        <v>16616.791536505516</v>
      </c>
      <c r="K41">
        <v>9</v>
      </c>
      <c r="L41">
        <v>25378.251052756765</v>
      </c>
    </row>
    <row r="42" spans="2:12" x14ac:dyDescent="0.3">
      <c r="B42">
        <v>10</v>
      </c>
      <c r="C42">
        <v>10981.387038701116</v>
      </c>
      <c r="E42">
        <v>10</v>
      </c>
      <c r="F42">
        <v>72496.081269641581</v>
      </c>
      <c r="H42">
        <v>10</v>
      </c>
      <c r="I42">
        <v>14772.620265200787</v>
      </c>
      <c r="K42">
        <v>10</v>
      </c>
      <c r="L42">
        <v>22197.310491375982</v>
      </c>
    </row>
    <row r="43" spans="2:12" x14ac:dyDescent="0.3">
      <c r="B43">
        <v>11</v>
      </c>
      <c r="C43">
        <v>9928.2213016274745</v>
      </c>
      <c r="E43">
        <v>11</v>
      </c>
      <c r="F43">
        <v>68300.618001425435</v>
      </c>
      <c r="H43">
        <v>11</v>
      </c>
      <c r="I43">
        <v>4992.3889451856148</v>
      </c>
      <c r="K43">
        <v>11</v>
      </c>
      <c r="L43">
        <v>26017.470348625106</v>
      </c>
    </row>
    <row r="44" spans="2:12" x14ac:dyDescent="0.3">
      <c r="B44">
        <v>12</v>
      </c>
      <c r="C44">
        <v>7751.2549335458452</v>
      </c>
      <c r="E44">
        <v>12</v>
      </c>
      <c r="F44">
        <v>75395.130782925684</v>
      </c>
      <c r="H44">
        <v>12</v>
      </c>
      <c r="I44">
        <v>13815.048503970082</v>
      </c>
      <c r="K44">
        <v>12</v>
      </c>
      <c r="L44">
        <v>12477.191848907996</v>
      </c>
    </row>
    <row r="45" spans="2:12" x14ac:dyDescent="0.3">
      <c r="B45">
        <v>13</v>
      </c>
      <c r="C45">
        <v>9509.4219415985244</v>
      </c>
      <c r="E45">
        <v>13</v>
      </c>
      <c r="F45">
        <v>64884.701915539074</v>
      </c>
      <c r="H45">
        <v>13</v>
      </c>
      <c r="I45">
        <v>16798.007371339849</v>
      </c>
      <c r="K45">
        <v>13</v>
      </c>
      <c r="L45">
        <v>23257.2574899147</v>
      </c>
    </row>
    <row r="46" spans="2:12" x14ac:dyDescent="0.3">
      <c r="B46">
        <v>14</v>
      </c>
      <c r="C46">
        <v>4225.0870765997479</v>
      </c>
      <c r="E46">
        <v>14</v>
      </c>
      <c r="F46">
        <v>72464.550037813824</v>
      </c>
      <c r="H46">
        <v>14</v>
      </c>
      <c r="I46">
        <v>18302.601969951993</v>
      </c>
      <c r="K46">
        <v>14</v>
      </c>
      <c r="L46">
        <v>19622.140887621699</v>
      </c>
    </row>
    <row r="47" spans="2:12" x14ac:dyDescent="0.3">
      <c r="B47">
        <v>15</v>
      </c>
      <c r="C47">
        <v>9686.4533584004403</v>
      </c>
      <c r="E47">
        <v>15</v>
      </c>
      <c r="F47">
        <v>68185.71527903949</v>
      </c>
      <c r="H47">
        <v>15</v>
      </c>
      <c r="I47">
        <v>4031.6588179613382</v>
      </c>
      <c r="K47">
        <v>15</v>
      </c>
      <c r="L47">
        <v>22006.451388899273</v>
      </c>
    </row>
    <row r="48" spans="2:12" x14ac:dyDescent="0.3">
      <c r="B48">
        <v>16</v>
      </c>
      <c r="C48">
        <v>4414.048722178246</v>
      </c>
      <c r="E48">
        <v>16</v>
      </c>
      <c r="F48">
        <v>66073.157209900441</v>
      </c>
      <c r="H48">
        <v>16</v>
      </c>
      <c r="I48">
        <v>22787.825207242709</v>
      </c>
      <c r="K48">
        <v>16</v>
      </c>
      <c r="L48">
        <v>14318.134905849072</v>
      </c>
    </row>
    <row r="49" spans="2:12" x14ac:dyDescent="0.3">
      <c r="B49">
        <v>17</v>
      </c>
      <c r="C49">
        <v>7027.1657463895144</v>
      </c>
      <c r="E49">
        <v>17</v>
      </c>
      <c r="F49">
        <v>75694.017424231817</v>
      </c>
      <c r="H49">
        <v>17</v>
      </c>
      <c r="I49">
        <v>3044.9576237332162</v>
      </c>
      <c r="K49">
        <v>17</v>
      </c>
      <c r="L49">
        <v>14219.53781027345</v>
      </c>
    </row>
    <row r="50" spans="2:12" x14ac:dyDescent="0.3">
      <c r="B50">
        <v>18</v>
      </c>
      <c r="C50">
        <v>9926.3246548493298</v>
      </c>
      <c r="E50">
        <v>18</v>
      </c>
      <c r="F50">
        <v>65918.378951011517</v>
      </c>
      <c r="H50">
        <v>18</v>
      </c>
      <c r="I50">
        <v>12365.630697081999</v>
      </c>
      <c r="K50">
        <v>18</v>
      </c>
      <c r="L50">
        <v>6612.0432990358549</v>
      </c>
    </row>
    <row r="51" spans="2:12" x14ac:dyDescent="0.3">
      <c r="B51">
        <v>19</v>
      </c>
      <c r="C51">
        <v>8228.7143741291839</v>
      </c>
      <c r="E51">
        <v>19</v>
      </c>
      <c r="F51">
        <v>72754.56669322768</v>
      </c>
      <c r="H51">
        <v>19</v>
      </c>
      <c r="I51">
        <v>17863.933784983754</v>
      </c>
      <c r="K51">
        <v>19</v>
      </c>
      <c r="L51">
        <v>19837.492214122445</v>
      </c>
    </row>
    <row r="52" spans="2:12" x14ac:dyDescent="0.3">
      <c r="B52">
        <v>20</v>
      </c>
      <c r="C52">
        <v>8698.2615603634331</v>
      </c>
      <c r="E52">
        <v>20</v>
      </c>
      <c r="F52">
        <v>75628.114192435314</v>
      </c>
      <c r="H52">
        <v>20</v>
      </c>
      <c r="I52">
        <v>21047.441329820886</v>
      </c>
      <c r="K52">
        <v>20</v>
      </c>
      <c r="L52">
        <v>22170.174057117045</v>
      </c>
    </row>
    <row r="53" spans="2:12" x14ac:dyDescent="0.3">
      <c r="B53">
        <v>21</v>
      </c>
      <c r="C53">
        <v>10037.00204180302</v>
      </c>
      <c r="E53">
        <v>21</v>
      </c>
      <c r="F53">
        <v>71417.350306754641</v>
      </c>
      <c r="H53">
        <v>21</v>
      </c>
      <c r="I53">
        <v>10365.179321522312</v>
      </c>
      <c r="K53">
        <v>21</v>
      </c>
      <c r="L53">
        <v>13759.109757226368</v>
      </c>
    </row>
    <row r="54" spans="2:12" x14ac:dyDescent="0.3">
      <c r="B54">
        <v>22</v>
      </c>
      <c r="C54">
        <v>9451.7994136752986</v>
      </c>
      <c r="E54">
        <v>22</v>
      </c>
      <c r="F54">
        <v>68725.587811355945</v>
      </c>
      <c r="H54">
        <v>22</v>
      </c>
      <c r="I54">
        <v>19174.126016641072</v>
      </c>
      <c r="K54">
        <v>22</v>
      </c>
      <c r="L54">
        <v>26144.091018888059</v>
      </c>
    </row>
    <row r="55" spans="2:12" x14ac:dyDescent="0.3">
      <c r="B55">
        <v>23</v>
      </c>
      <c r="C55">
        <v>7236.933944295738</v>
      </c>
      <c r="E55">
        <v>23</v>
      </c>
      <c r="F55">
        <v>73424.017755396926</v>
      </c>
      <c r="H55">
        <v>23</v>
      </c>
      <c r="I55">
        <v>10111.078193905751</v>
      </c>
      <c r="K55">
        <v>23</v>
      </c>
      <c r="L55">
        <v>8168.5430761570706</v>
      </c>
    </row>
    <row r="56" spans="2:12" x14ac:dyDescent="0.3">
      <c r="B56">
        <v>24</v>
      </c>
      <c r="C56">
        <v>7923.4541476381592</v>
      </c>
      <c r="E56">
        <v>24</v>
      </c>
      <c r="F56">
        <v>76548.007049253851</v>
      </c>
      <c r="H56">
        <v>24</v>
      </c>
      <c r="I56">
        <v>20968.22160812201</v>
      </c>
      <c r="K56">
        <v>24</v>
      </c>
      <c r="L56">
        <v>20928.442582924603</v>
      </c>
    </row>
    <row r="57" spans="2:12" x14ac:dyDescent="0.3">
      <c r="B57">
        <v>25</v>
      </c>
      <c r="C57">
        <v>5489.952304855914</v>
      </c>
      <c r="E57">
        <v>25</v>
      </c>
      <c r="F57">
        <v>73887.867190318313</v>
      </c>
      <c r="H57">
        <v>25</v>
      </c>
      <c r="I57">
        <v>15721.990031863834</v>
      </c>
      <c r="K57">
        <v>25</v>
      </c>
      <c r="L57">
        <v>19380.92466143359</v>
      </c>
    </row>
    <row r="58" spans="2:12" x14ac:dyDescent="0.3">
      <c r="B58">
        <v>26</v>
      </c>
      <c r="C58">
        <v>10498.502006018689</v>
      </c>
      <c r="E58">
        <v>26</v>
      </c>
      <c r="F58">
        <v>74071.355673253303</v>
      </c>
      <c r="H58">
        <v>26</v>
      </c>
      <c r="I58">
        <v>17862.252388934299</v>
      </c>
      <c r="K58">
        <v>26</v>
      </c>
      <c r="L58">
        <v>20069.314328392058</v>
      </c>
    </row>
    <row r="59" spans="2:12" x14ac:dyDescent="0.3">
      <c r="B59">
        <v>27</v>
      </c>
      <c r="C59">
        <v>3760.0506400674194</v>
      </c>
      <c r="E59">
        <v>27</v>
      </c>
      <c r="F59">
        <v>74462.799505689167</v>
      </c>
      <c r="H59">
        <v>27</v>
      </c>
      <c r="I59">
        <v>8015.3580123825377</v>
      </c>
      <c r="K59">
        <v>27</v>
      </c>
      <c r="L59">
        <v>23745.875035739449</v>
      </c>
    </row>
    <row r="60" spans="2:12" x14ac:dyDescent="0.3">
      <c r="B60">
        <v>28</v>
      </c>
      <c r="C60">
        <v>8018.1117590840386</v>
      </c>
      <c r="E60">
        <v>28</v>
      </c>
      <c r="F60">
        <v>63373.126723385663</v>
      </c>
      <c r="H60">
        <v>28</v>
      </c>
      <c r="I60">
        <v>13547.3557771123</v>
      </c>
      <c r="K60">
        <v>28</v>
      </c>
      <c r="L60">
        <v>13675.828601587142</v>
      </c>
    </row>
    <row r="61" spans="2:12" x14ac:dyDescent="0.3">
      <c r="B61">
        <v>29</v>
      </c>
      <c r="C61">
        <v>4877.4245946074607</v>
      </c>
      <c r="E61">
        <v>29</v>
      </c>
      <c r="F61">
        <v>67533.865356389899</v>
      </c>
      <c r="H61">
        <v>29</v>
      </c>
      <c r="I61">
        <v>7547.6134088838235</v>
      </c>
      <c r="K61">
        <v>29</v>
      </c>
      <c r="L61">
        <v>20959.877099618599</v>
      </c>
    </row>
    <row r="62" spans="2:12" x14ac:dyDescent="0.3">
      <c r="B62">
        <v>30</v>
      </c>
      <c r="C62">
        <v>6119.6757203627594</v>
      </c>
      <c r="E62">
        <v>30</v>
      </c>
      <c r="F62">
        <v>65183.153087932726</v>
      </c>
      <c r="H62">
        <v>30</v>
      </c>
      <c r="I62">
        <v>10216.013252926194</v>
      </c>
      <c r="K62">
        <v>30</v>
      </c>
      <c r="L62">
        <v>7618.0942961604005</v>
      </c>
    </row>
    <row r="63" spans="2:12" x14ac:dyDescent="0.3">
      <c r="B63">
        <v>31</v>
      </c>
      <c r="C63">
        <v>10636.960531320587</v>
      </c>
      <c r="E63">
        <v>31</v>
      </c>
      <c r="F63">
        <v>71788.461402042405</v>
      </c>
      <c r="H63">
        <v>31</v>
      </c>
      <c r="I63">
        <v>4952.4746087307722</v>
      </c>
      <c r="K63">
        <v>31</v>
      </c>
      <c r="L63">
        <v>9062.6021410167705</v>
      </c>
    </row>
    <row r="64" spans="2:12" x14ac:dyDescent="0.3">
      <c r="B64">
        <v>32</v>
      </c>
      <c r="C64">
        <v>9069.4615994934047</v>
      </c>
      <c r="E64">
        <v>32</v>
      </c>
      <c r="F64">
        <v>64633.184477346796</v>
      </c>
      <c r="H64">
        <v>32</v>
      </c>
      <c r="I64">
        <v>14069.594428354816</v>
      </c>
      <c r="K64">
        <v>32</v>
      </c>
      <c r="L64">
        <v>8134.8267645961805</v>
      </c>
    </row>
    <row r="65" spans="2:12" x14ac:dyDescent="0.3">
      <c r="B65">
        <v>33</v>
      </c>
      <c r="C65">
        <v>4514.7565552623673</v>
      </c>
      <c r="E65">
        <v>33</v>
      </c>
      <c r="F65">
        <v>68776.552651287449</v>
      </c>
      <c r="H65">
        <v>33</v>
      </c>
      <c r="I65">
        <v>6901.4479792674711</v>
      </c>
      <c r="K65">
        <v>33</v>
      </c>
      <c r="L65">
        <v>13437.471788879504</v>
      </c>
    </row>
    <row r="66" spans="2:12" x14ac:dyDescent="0.3">
      <c r="B66">
        <v>34</v>
      </c>
      <c r="C66">
        <v>9572.8612646766614</v>
      </c>
      <c r="E66">
        <v>34</v>
      </c>
      <c r="F66">
        <v>78010.079241350686</v>
      </c>
      <c r="H66">
        <v>34</v>
      </c>
      <c r="I66">
        <v>11498.377686191805</v>
      </c>
      <c r="K66">
        <v>34</v>
      </c>
      <c r="L66">
        <v>11061.516434138031</v>
      </c>
    </row>
    <row r="67" spans="2:12" x14ac:dyDescent="0.3">
      <c r="B67">
        <v>35</v>
      </c>
      <c r="C67">
        <v>10035.03805929432</v>
      </c>
      <c r="E67">
        <v>35</v>
      </c>
      <c r="F67">
        <v>75006.248547904936</v>
      </c>
      <c r="H67">
        <v>35</v>
      </c>
      <c r="I67">
        <v>13616.959290079802</v>
      </c>
      <c r="K67">
        <v>35</v>
      </c>
      <c r="L67">
        <v>27265.698629341234</v>
      </c>
    </row>
    <row r="68" spans="2:12" x14ac:dyDescent="0.3">
      <c r="B68">
        <v>36</v>
      </c>
      <c r="C68">
        <v>7693.9660650739543</v>
      </c>
      <c r="E68">
        <v>36</v>
      </c>
      <c r="F68">
        <v>77417.987113005642</v>
      </c>
      <c r="H68">
        <v>36</v>
      </c>
      <c r="I68">
        <v>15289.947124022128</v>
      </c>
      <c r="K68">
        <v>36</v>
      </c>
      <c r="L68">
        <v>17514.074839930465</v>
      </c>
    </row>
    <row r="69" spans="2:12" x14ac:dyDescent="0.3">
      <c r="B69">
        <v>37</v>
      </c>
      <c r="C69">
        <v>7677.8334972630983</v>
      </c>
      <c r="E69">
        <v>37</v>
      </c>
      <c r="F69">
        <v>71437.854435749439</v>
      </c>
      <c r="H69">
        <v>37</v>
      </c>
      <c r="I69">
        <v>6056.4302984953383</v>
      </c>
      <c r="K69">
        <v>37</v>
      </c>
      <c r="L69">
        <v>21015.313576917877</v>
      </c>
    </row>
    <row r="70" spans="2:12" x14ac:dyDescent="0.3">
      <c r="B70">
        <v>38</v>
      </c>
      <c r="C70">
        <v>11275.227663604452</v>
      </c>
      <c r="E70">
        <v>38</v>
      </c>
      <c r="F70">
        <v>75953.109949782331</v>
      </c>
      <c r="H70">
        <v>38</v>
      </c>
      <c r="I70">
        <v>11460.652103498507</v>
      </c>
      <c r="K70">
        <v>38</v>
      </c>
      <c r="L70">
        <v>7406.9326649579098</v>
      </c>
    </row>
    <row r="71" spans="2:12" x14ac:dyDescent="0.3">
      <c r="B71">
        <v>39</v>
      </c>
      <c r="C71">
        <v>10909.942988572227</v>
      </c>
      <c r="E71">
        <v>39</v>
      </c>
      <c r="F71">
        <v>75070.836796058764</v>
      </c>
      <c r="H71">
        <v>39</v>
      </c>
      <c r="I71">
        <v>18132.996305676403</v>
      </c>
      <c r="K71">
        <v>39</v>
      </c>
      <c r="L71">
        <v>19726.26152333511</v>
      </c>
    </row>
    <row r="72" spans="2:12" x14ac:dyDescent="0.3">
      <c r="B72">
        <v>40</v>
      </c>
      <c r="C72">
        <v>8089.8596493062842</v>
      </c>
      <c r="E72">
        <v>40</v>
      </c>
      <c r="F72">
        <v>69277.832855443732</v>
      </c>
      <c r="H72">
        <v>40</v>
      </c>
      <c r="I72">
        <v>12902.306002919428</v>
      </c>
      <c r="K72">
        <v>40</v>
      </c>
      <c r="L72">
        <v>28187.425691959103</v>
      </c>
    </row>
    <row r="73" spans="2:12" x14ac:dyDescent="0.3">
      <c r="B73">
        <v>41</v>
      </c>
      <c r="C73">
        <v>6737.1680976312291</v>
      </c>
      <c r="E73">
        <v>41</v>
      </c>
      <c r="F73">
        <v>71150.421831383384</v>
      </c>
      <c r="H73">
        <v>41</v>
      </c>
      <c r="I73">
        <v>14905.14076962985</v>
      </c>
      <c r="K73">
        <v>41</v>
      </c>
      <c r="L73">
        <v>22757.00814073244</v>
      </c>
    </row>
    <row r="74" spans="2:12" x14ac:dyDescent="0.3">
      <c r="B74">
        <v>42</v>
      </c>
      <c r="C74">
        <v>6745.5692457460145</v>
      </c>
      <c r="E74">
        <v>42</v>
      </c>
      <c r="F74">
        <v>73856.296439512502</v>
      </c>
      <c r="H74">
        <v>42</v>
      </c>
      <c r="I74">
        <v>15569.59564104731</v>
      </c>
      <c r="K74">
        <v>42</v>
      </c>
      <c r="L74">
        <v>13632.308544652427</v>
      </c>
    </row>
    <row r="75" spans="2:12" x14ac:dyDescent="0.3">
      <c r="B75">
        <v>43</v>
      </c>
      <c r="C75">
        <v>9535.347272561361</v>
      </c>
      <c r="E75">
        <v>43</v>
      </c>
      <c r="F75">
        <v>74312.682531225131</v>
      </c>
      <c r="H75">
        <v>43</v>
      </c>
      <c r="I75">
        <v>8136.324105723892</v>
      </c>
      <c r="K75">
        <v>43</v>
      </c>
      <c r="L75">
        <v>31139.745434523556</v>
      </c>
    </row>
    <row r="76" spans="2:12" x14ac:dyDescent="0.3">
      <c r="B76">
        <v>44</v>
      </c>
      <c r="C76">
        <v>8291.4253526778339</v>
      </c>
      <c r="E76">
        <v>44</v>
      </c>
      <c r="F76">
        <v>72948.134280602797</v>
      </c>
      <c r="H76">
        <v>44</v>
      </c>
      <c r="I76">
        <v>17868.333867567544</v>
      </c>
      <c r="K76">
        <v>44</v>
      </c>
      <c r="L76">
        <v>4939.8115957271775</v>
      </c>
    </row>
    <row r="77" spans="2:12" x14ac:dyDescent="0.3">
      <c r="B77">
        <v>45</v>
      </c>
      <c r="C77">
        <v>8555.2727876733297</v>
      </c>
      <c r="E77">
        <v>45</v>
      </c>
      <c r="F77">
        <v>70406.877794916058</v>
      </c>
      <c r="H77">
        <v>45</v>
      </c>
      <c r="I77">
        <v>9198.0830541120558</v>
      </c>
      <c r="K77">
        <v>45</v>
      </c>
      <c r="L77">
        <v>24267.776242675514</v>
      </c>
    </row>
    <row r="78" spans="2:12" x14ac:dyDescent="0.3">
      <c r="B78">
        <v>46</v>
      </c>
      <c r="C78">
        <v>6405.591170285561</v>
      </c>
      <c r="E78">
        <v>46</v>
      </c>
      <c r="F78">
        <v>65247.859338885741</v>
      </c>
      <c r="H78">
        <v>46</v>
      </c>
      <c r="I78">
        <v>23188.240241097737</v>
      </c>
      <c r="K78">
        <v>46</v>
      </c>
      <c r="L78">
        <v>21613.951349840398</v>
      </c>
    </row>
    <row r="79" spans="2:12" x14ac:dyDescent="0.3">
      <c r="B79">
        <v>47</v>
      </c>
      <c r="C79">
        <v>7123.9701752745559</v>
      </c>
      <c r="E79">
        <v>47</v>
      </c>
      <c r="F79">
        <v>78550.117378528172</v>
      </c>
      <c r="H79">
        <v>47</v>
      </c>
      <c r="I79">
        <v>14546.679211609417</v>
      </c>
      <c r="K79">
        <v>47</v>
      </c>
      <c r="L79">
        <v>15540.440781002917</v>
      </c>
    </row>
    <row r="80" spans="2:12" x14ac:dyDescent="0.3">
      <c r="B80">
        <v>48</v>
      </c>
      <c r="C80">
        <v>10024.635537045484</v>
      </c>
      <c r="E80">
        <v>48</v>
      </c>
      <c r="F80">
        <v>72349.201082190091</v>
      </c>
      <c r="H80">
        <v>48</v>
      </c>
      <c r="I80">
        <v>7673.413893453825</v>
      </c>
      <c r="K80">
        <v>48</v>
      </c>
      <c r="L80">
        <v>23487.021759224102</v>
      </c>
    </row>
    <row r="81" spans="2:12" x14ac:dyDescent="0.3">
      <c r="B81">
        <v>49</v>
      </c>
      <c r="C81">
        <v>7813.6395814870739</v>
      </c>
      <c r="E81">
        <v>49</v>
      </c>
      <c r="F81">
        <v>77451.848063857164</v>
      </c>
      <c r="H81">
        <v>49</v>
      </c>
      <c r="I81">
        <v>1942.6968064667358</v>
      </c>
      <c r="K81">
        <v>49</v>
      </c>
      <c r="L81">
        <v>25116.299223511258</v>
      </c>
    </row>
    <row r="82" spans="2:12" x14ac:dyDescent="0.3">
      <c r="B82">
        <v>50</v>
      </c>
      <c r="C82">
        <v>11792.370128302651</v>
      </c>
      <c r="E82">
        <v>50</v>
      </c>
      <c r="F82">
        <v>76045.448390195408</v>
      </c>
      <c r="H82">
        <v>50</v>
      </c>
      <c r="I82">
        <v>9614.7620541242086</v>
      </c>
      <c r="K82">
        <v>50</v>
      </c>
      <c r="L82">
        <v>20632.362336333077</v>
      </c>
    </row>
    <row r="83" spans="2:12" x14ac:dyDescent="0.3">
      <c r="B83">
        <v>51</v>
      </c>
      <c r="C83">
        <v>6237.6740629803744</v>
      </c>
      <c r="E83">
        <v>51</v>
      </c>
      <c r="F83">
        <v>75423.994673025765</v>
      </c>
      <c r="H83">
        <v>51</v>
      </c>
      <c r="I83">
        <v>16781.153569726608</v>
      </c>
      <c r="K83">
        <v>51</v>
      </c>
      <c r="L83">
        <v>19211.690915330444</v>
      </c>
    </row>
    <row r="84" spans="2:12" x14ac:dyDescent="0.3">
      <c r="B84">
        <v>52</v>
      </c>
      <c r="C84">
        <v>8905.2470817622525</v>
      </c>
      <c r="E84">
        <v>52</v>
      </c>
      <c r="F84">
        <v>72502.700397419219</v>
      </c>
      <c r="H84">
        <v>52</v>
      </c>
      <c r="I84">
        <v>21745.20547205324</v>
      </c>
      <c r="K84">
        <v>52</v>
      </c>
      <c r="L84">
        <v>13662.533152982724</v>
      </c>
    </row>
    <row r="85" spans="2:12" x14ac:dyDescent="0.3">
      <c r="B85">
        <v>53</v>
      </c>
      <c r="C85">
        <v>9646.1381283711089</v>
      </c>
      <c r="E85">
        <v>53</v>
      </c>
      <c r="F85">
        <v>73983.106653413954</v>
      </c>
      <c r="H85">
        <v>53</v>
      </c>
      <c r="I85">
        <v>15262.525563751833</v>
      </c>
      <c r="K85">
        <v>53</v>
      </c>
      <c r="L85">
        <v>27897.929456661681</v>
      </c>
    </row>
    <row r="86" spans="2:12" x14ac:dyDescent="0.3">
      <c r="B86">
        <v>54</v>
      </c>
      <c r="C86">
        <v>10515.618557676207</v>
      </c>
      <c r="E86">
        <v>54</v>
      </c>
      <c r="F86">
        <v>72780.738408663121</v>
      </c>
      <c r="H86">
        <v>54</v>
      </c>
      <c r="I86">
        <v>21601.663540225782</v>
      </c>
      <c r="K86">
        <v>54</v>
      </c>
      <c r="L86">
        <v>19797.807595512899</v>
      </c>
    </row>
    <row r="87" spans="2:12" x14ac:dyDescent="0.3">
      <c r="B87">
        <v>55</v>
      </c>
      <c r="C87">
        <v>4692.655167603496</v>
      </c>
      <c r="E87">
        <v>55</v>
      </c>
      <c r="F87">
        <v>70562.436647703347</v>
      </c>
      <c r="H87">
        <v>55</v>
      </c>
      <c r="I87">
        <v>19877.0705467601</v>
      </c>
      <c r="K87">
        <v>55</v>
      </c>
      <c r="L87">
        <v>7616.4727733396858</v>
      </c>
    </row>
    <row r="88" spans="2:12" x14ac:dyDescent="0.3">
      <c r="B88">
        <v>56</v>
      </c>
      <c r="C88">
        <v>2961.5035192309324</v>
      </c>
      <c r="E88">
        <v>56</v>
      </c>
      <c r="F88">
        <v>79568.162400789792</v>
      </c>
      <c r="H88">
        <v>56</v>
      </c>
      <c r="I88">
        <v>17505.518066567434</v>
      </c>
      <c r="K88">
        <v>56</v>
      </c>
      <c r="L88">
        <v>21129.177198587808</v>
      </c>
    </row>
    <row r="89" spans="2:12" x14ac:dyDescent="0.3">
      <c r="B89">
        <v>57</v>
      </c>
      <c r="C89">
        <v>10990.401430932212</v>
      </c>
      <c r="E89">
        <v>57</v>
      </c>
      <c r="F89">
        <v>77414.867383693476</v>
      </c>
      <c r="H89">
        <v>57</v>
      </c>
      <c r="I89">
        <v>17596.009326666008</v>
      </c>
      <c r="K89">
        <v>57</v>
      </c>
      <c r="L89">
        <v>19067.389820021435</v>
      </c>
    </row>
    <row r="90" spans="2:12" x14ac:dyDescent="0.3">
      <c r="B90">
        <v>58</v>
      </c>
      <c r="C90">
        <v>2034.8938504831337</v>
      </c>
      <c r="E90">
        <v>58</v>
      </c>
      <c r="F90">
        <v>64510.150378862119</v>
      </c>
      <c r="H90">
        <v>58</v>
      </c>
      <c r="I90">
        <v>13556.340687460201</v>
      </c>
      <c r="K90">
        <v>58</v>
      </c>
      <c r="L90">
        <v>11879.207967973591</v>
      </c>
    </row>
    <row r="91" spans="2:12" x14ac:dyDescent="0.3">
      <c r="B91">
        <v>59</v>
      </c>
      <c r="C91">
        <v>10413.227098595313</v>
      </c>
      <c r="E91">
        <v>59</v>
      </c>
      <c r="F91">
        <v>80568.314022929044</v>
      </c>
      <c r="H91">
        <v>59</v>
      </c>
      <c r="I91">
        <v>9299.11542890696</v>
      </c>
      <c r="K91">
        <v>59</v>
      </c>
      <c r="L91">
        <v>6898.1578682093113</v>
      </c>
    </row>
    <row r="92" spans="2:12" x14ac:dyDescent="0.3">
      <c r="B92">
        <v>60</v>
      </c>
      <c r="C92">
        <v>8028.2541830201026</v>
      </c>
      <c r="E92">
        <v>60</v>
      </c>
      <c r="F92">
        <v>72694.653184085546</v>
      </c>
      <c r="H92">
        <v>60</v>
      </c>
      <c r="I92">
        <v>8431.2583909281166</v>
      </c>
      <c r="K92">
        <v>60</v>
      </c>
      <c r="L92">
        <v>19174.163091179507</v>
      </c>
    </row>
    <row r="93" spans="2:12" x14ac:dyDescent="0.3">
      <c r="B93">
        <v>61</v>
      </c>
      <c r="C93">
        <v>4336.7417334841502</v>
      </c>
      <c r="E93">
        <v>61</v>
      </c>
      <c r="F93">
        <v>67667.677183347143</v>
      </c>
      <c r="H93">
        <v>61</v>
      </c>
      <c r="I93">
        <v>20083.910957857966</v>
      </c>
      <c r="K93">
        <v>61</v>
      </c>
      <c r="L93">
        <v>11838.492755430578</v>
      </c>
    </row>
    <row r="94" spans="2:12" x14ac:dyDescent="0.3">
      <c r="B94">
        <v>62</v>
      </c>
      <c r="C94">
        <v>5429.5512789662189</v>
      </c>
      <c r="E94">
        <v>62</v>
      </c>
      <c r="F94">
        <v>73139.284092625545</v>
      </c>
      <c r="H94">
        <v>62</v>
      </c>
      <c r="I94">
        <v>13227.857726625753</v>
      </c>
      <c r="K94">
        <v>62</v>
      </c>
      <c r="L94">
        <v>31053.311802866861</v>
      </c>
    </row>
    <row r="95" spans="2:12" x14ac:dyDescent="0.3">
      <c r="B95">
        <v>63</v>
      </c>
      <c r="C95">
        <v>8846.1566064568669</v>
      </c>
      <c r="E95">
        <v>63</v>
      </c>
      <c r="F95">
        <v>73955.829766130119</v>
      </c>
      <c r="H95">
        <v>63</v>
      </c>
      <c r="I95">
        <v>8764.9807509328439</v>
      </c>
      <c r="K95">
        <v>63</v>
      </c>
      <c r="L95">
        <v>10321.337863108229</v>
      </c>
    </row>
    <row r="96" spans="2:12" x14ac:dyDescent="0.3">
      <c r="B96">
        <v>64</v>
      </c>
      <c r="C96">
        <v>11551.785317032525</v>
      </c>
      <c r="E96">
        <v>64</v>
      </c>
      <c r="F96">
        <v>73937.516376017127</v>
      </c>
      <c r="H96">
        <v>64</v>
      </c>
      <c r="I96">
        <v>9679.0755644833607</v>
      </c>
      <c r="K96">
        <v>64</v>
      </c>
      <c r="L96">
        <v>24297.021213064676</v>
      </c>
    </row>
    <row r="97" spans="2:12" x14ac:dyDescent="0.3">
      <c r="B97">
        <v>65</v>
      </c>
      <c r="C97">
        <v>7155.6743537002631</v>
      </c>
      <c r="E97">
        <v>65</v>
      </c>
      <c r="F97">
        <v>66227.945463387499</v>
      </c>
      <c r="H97">
        <v>65</v>
      </c>
      <c r="I97">
        <v>20444.45333652736</v>
      </c>
      <c r="K97">
        <v>65</v>
      </c>
      <c r="L97">
        <v>11784.127222217314</v>
      </c>
    </row>
    <row r="98" spans="2:12" x14ac:dyDescent="0.3">
      <c r="B98">
        <v>66</v>
      </c>
      <c r="C98">
        <v>9893.1110834384217</v>
      </c>
      <c r="E98">
        <v>66</v>
      </c>
      <c r="F98">
        <v>79061.983392548311</v>
      </c>
      <c r="H98">
        <v>66</v>
      </c>
      <c r="I98">
        <v>11925.533522912658</v>
      </c>
      <c r="K98">
        <v>66</v>
      </c>
      <c r="L98">
        <v>14008.264300084673</v>
      </c>
    </row>
    <row r="99" spans="2:12" x14ac:dyDescent="0.3">
      <c r="B99">
        <v>67</v>
      </c>
      <c r="C99">
        <v>7113.3187243920029</v>
      </c>
      <c r="E99">
        <v>67</v>
      </c>
      <c r="F99">
        <v>68349.323096225591</v>
      </c>
      <c r="H99">
        <v>67</v>
      </c>
      <c r="I99">
        <v>7713.139733519256</v>
      </c>
      <c r="K99">
        <v>67</v>
      </c>
      <c r="L99">
        <v>20399.450787859249</v>
      </c>
    </row>
    <row r="100" spans="2:12" x14ac:dyDescent="0.3">
      <c r="B100">
        <v>68</v>
      </c>
      <c r="C100">
        <v>10279.323373917834</v>
      </c>
      <c r="E100">
        <v>68</v>
      </c>
      <c r="F100">
        <v>76216.813782463418</v>
      </c>
      <c r="H100">
        <v>68</v>
      </c>
      <c r="I100">
        <v>11903.61650402701</v>
      </c>
      <c r="K100">
        <v>68</v>
      </c>
      <c r="L100">
        <v>22176.946254451566</v>
      </c>
    </row>
    <row r="101" spans="2:12" x14ac:dyDescent="0.3">
      <c r="B101">
        <v>69</v>
      </c>
      <c r="C101">
        <v>3851.5250576854455</v>
      </c>
      <c r="E101">
        <v>69</v>
      </c>
      <c r="F101">
        <v>72490.616273316467</v>
      </c>
      <c r="H101">
        <v>69</v>
      </c>
      <c r="I101">
        <v>18832.360570488192</v>
      </c>
      <c r="K101">
        <v>69</v>
      </c>
      <c r="L101">
        <v>10669.973787040797</v>
      </c>
    </row>
    <row r="102" spans="2:12" x14ac:dyDescent="0.3">
      <c r="B102">
        <v>70</v>
      </c>
      <c r="C102">
        <v>4763.3028840892184</v>
      </c>
      <c r="E102">
        <v>70</v>
      </c>
      <c r="F102">
        <v>76603.961660859379</v>
      </c>
      <c r="H102">
        <v>70</v>
      </c>
      <c r="I102">
        <v>19603.510169368536</v>
      </c>
      <c r="K102">
        <v>70</v>
      </c>
      <c r="L102">
        <v>16469.387457596753</v>
      </c>
    </row>
    <row r="103" spans="2:12" x14ac:dyDescent="0.3">
      <c r="B103">
        <v>71</v>
      </c>
      <c r="C103">
        <v>5312.9821499524533</v>
      </c>
      <c r="E103">
        <v>71</v>
      </c>
      <c r="F103">
        <v>73663.620097655279</v>
      </c>
      <c r="H103">
        <v>71</v>
      </c>
      <c r="I103">
        <v>16725.097120379665</v>
      </c>
      <c r="K103">
        <v>71</v>
      </c>
      <c r="L103">
        <v>12674.408363165563</v>
      </c>
    </row>
    <row r="104" spans="2:12" x14ac:dyDescent="0.3">
      <c r="B104">
        <v>72</v>
      </c>
      <c r="C104">
        <v>1009.7905353678242</v>
      </c>
      <c r="E104">
        <v>72</v>
      </c>
      <c r="F104">
        <v>73223.188997404752</v>
      </c>
      <c r="H104">
        <v>72</v>
      </c>
      <c r="I104">
        <v>15261.63099360138</v>
      </c>
      <c r="K104">
        <v>72</v>
      </c>
      <c r="L104">
        <v>18470.390877027487</v>
      </c>
    </row>
    <row r="105" spans="2:12" x14ac:dyDescent="0.3">
      <c r="B105">
        <v>73</v>
      </c>
      <c r="C105">
        <v>7633.7618595840095</v>
      </c>
      <c r="E105">
        <v>73</v>
      </c>
      <c r="F105">
        <v>64345.634084088517</v>
      </c>
      <c r="H105">
        <v>73</v>
      </c>
      <c r="I105">
        <v>13378.175603893927</v>
      </c>
      <c r="K105">
        <v>73</v>
      </c>
      <c r="L105">
        <v>22581.827693987758</v>
      </c>
    </row>
    <row r="106" spans="2:12" x14ac:dyDescent="0.3">
      <c r="B106">
        <v>74</v>
      </c>
      <c r="C106">
        <v>8886.9037099532579</v>
      </c>
      <c r="E106">
        <v>74</v>
      </c>
      <c r="F106">
        <v>64849.421212015099</v>
      </c>
      <c r="H106">
        <v>74</v>
      </c>
      <c r="I106">
        <v>14779.323829683835</v>
      </c>
      <c r="K106">
        <v>74</v>
      </c>
      <c r="L106">
        <v>18142.575170108157</v>
      </c>
    </row>
    <row r="107" spans="2:12" x14ac:dyDescent="0.3">
      <c r="B107">
        <v>75</v>
      </c>
      <c r="C107">
        <v>9033.4143215441145</v>
      </c>
      <c r="E107">
        <v>75</v>
      </c>
      <c r="F107">
        <v>59930.078303805087</v>
      </c>
      <c r="H107">
        <v>75</v>
      </c>
      <c r="I107">
        <v>13842.282469708252</v>
      </c>
      <c r="K107">
        <v>75</v>
      </c>
      <c r="L107">
        <v>22622.359589519961</v>
      </c>
    </row>
    <row r="108" spans="2:12" x14ac:dyDescent="0.3">
      <c r="B108">
        <v>76</v>
      </c>
      <c r="C108">
        <v>7725.5840432665618</v>
      </c>
      <c r="E108">
        <v>76</v>
      </c>
      <c r="F108">
        <v>62839.716822832765</v>
      </c>
      <c r="H108">
        <v>76</v>
      </c>
      <c r="I108">
        <v>13527.208214104216</v>
      </c>
      <c r="K108">
        <v>76</v>
      </c>
      <c r="L108">
        <v>14190.594768714378</v>
      </c>
    </row>
    <row r="109" spans="2:12" x14ac:dyDescent="0.3">
      <c r="B109">
        <v>77</v>
      </c>
      <c r="C109">
        <v>7319.841046268788</v>
      </c>
      <c r="E109">
        <v>77</v>
      </c>
      <c r="F109">
        <v>64389.83512847672</v>
      </c>
      <c r="H109">
        <v>77</v>
      </c>
      <c r="I109">
        <v>11471.134619943303</v>
      </c>
      <c r="K109">
        <v>77</v>
      </c>
      <c r="L109">
        <v>22020.726313644493</v>
      </c>
    </row>
    <row r="110" spans="2:12" x14ac:dyDescent="0.3">
      <c r="B110">
        <v>78</v>
      </c>
      <c r="C110">
        <v>7948.3915605537586</v>
      </c>
      <c r="E110">
        <v>78</v>
      </c>
      <c r="F110">
        <v>69730.36245656242</v>
      </c>
      <c r="H110">
        <v>78</v>
      </c>
      <c r="I110">
        <v>14766.701789475394</v>
      </c>
      <c r="K110">
        <v>78</v>
      </c>
      <c r="L110">
        <v>26807.6099135191</v>
      </c>
    </row>
    <row r="111" spans="2:12" x14ac:dyDescent="0.3">
      <c r="B111">
        <v>79</v>
      </c>
      <c r="C111">
        <v>10099.292851725873</v>
      </c>
      <c r="E111">
        <v>79</v>
      </c>
      <c r="F111">
        <v>76153.554673254344</v>
      </c>
      <c r="H111">
        <v>79</v>
      </c>
      <c r="I111">
        <v>15340.471744023118</v>
      </c>
      <c r="K111">
        <v>79</v>
      </c>
      <c r="L111">
        <v>12862.671542289927</v>
      </c>
    </row>
    <row r="112" spans="2:12" x14ac:dyDescent="0.3">
      <c r="B112">
        <v>80</v>
      </c>
      <c r="C112">
        <v>6821.7474396220869</v>
      </c>
      <c r="E112">
        <v>80</v>
      </c>
      <c r="F112">
        <v>71337.67788299243</v>
      </c>
      <c r="H112">
        <v>80</v>
      </c>
      <c r="I112">
        <v>9796.2528838653907</v>
      </c>
      <c r="K112">
        <v>80</v>
      </c>
      <c r="L112">
        <v>21825.243207070518</v>
      </c>
    </row>
    <row r="113" spans="2:12" x14ac:dyDescent="0.3">
      <c r="B113">
        <v>81</v>
      </c>
      <c r="C113">
        <v>4218.9590226944892</v>
      </c>
      <c r="E113">
        <v>81</v>
      </c>
      <c r="F113">
        <v>71750.711267818158</v>
      </c>
      <c r="H113">
        <v>81</v>
      </c>
      <c r="I113">
        <v>17491.460171415834</v>
      </c>
      <c r="K113">
        <v>81</v>
      </c>
      <c r="L113">
        <v>30469.330508312672</v>
      </c>
    </row>
    <row r="114" spans="2:12" x14ac:dyDescent="0.3">
      <c r="B114">
        <v>82</v>
      </c>
      <c r="C114">
        <v>8277.8626613632659</v>
      </c>
      <c r="E114">
        <v>82</v>
      </c>
      <c r="F114">
        <v>78205.593889805677</v>
      </c>
      <c r="H114">
        <v>82</v>
      </c>
      <c r="I114">
        <v>11702.742740378915</v>
      </c>
      <c r="K114">
        <v>82</v>
      </c>
      <c r="L114">
        <v>20774.324997492589</v>
      </c>
    </row>
    <row r="115" spans="2:12" x14ac:dyDescent="0.3">
      <c r="B115">
        <v>83</v>
      </c>
      <c r="C115">
        <v>12176.047061187146</v>
      </c>
      <c r="E115">
        <v>83</v>
      </c>
      <c r="F115">
        <v>70543.823511716051</v>
      </c>
      <c r="H115">
        <v>83</v>
      </c>
      <c r="I115">
        <v>12110.914819810838</v>
      </c>
      <c r="K115">
        <v>83</v>
      </c>
      <c r="L115">
        <v>11415.188459359833</v>
      </c>
    </row>
    <row r="116" spans="2:12" x14ac:dyDescent="0.3">
      <c r="B116">
        <v>84</v>
      </c>
      <c r="C116">
        <v>5075.778477708538</v>
      </c>
      <c r="E116">
        <v>84</v>
      </c>
      <c r="F116">
        <v>69648.41195829364</v>
      </c>
      <c r="H116">
        <v>84</v>
      </c>
      <c r="I116">
        <v>16434.627927170481</v>
      </c>
      <c r="K116">
        <v>84</v>
      </c>
      <c r="L116">
        <v>22284.607514519648</v>
      </c>
    </row>
    <row r="117" spans="2:12" x14ac:dyDescent="0.3">
      <c r="B117">
        <v>85</v>
      </c>
      <c r="C117">
        <v>4853.1836532946481</v>
      </c>
      <c r="E117">
        <v>85</v>
      </c>
      <c r="F117">
        <v>65776.58003778939</v>
      </c>
      <c r="H117">
        <v>85</v>
      </c>
      <c r="I117">
        <v>11450.342080729444</v>
      </c>
      <c r="K117">
        <v>85</v>
      </c>
      <c r="L117">
        <v>28802.012877918136</v>
      </c>
    </row>
    <row r="118" spans="2:12" x14ac:dyDescent="0.3">
      <c r="B118">
        <v>86</v>
      </c>
      <c r="C118">
        <v>11131.753916617308</v>
      </c>
      <c r="E118">
        <v>86</v>
      </c>
      <c r="F118">
        <v>78352.981933903851</v>
      </c>
      <c r="H118">
        <v>86</v>
      </c>
      <c r="I118">
        <v>20545.709456236258</v>
      </c>
      <c r="K118">
        <v>86</v>
      </c>
      <c r="L118">
        <v>20597.007541660427</v>
      </c>
    </row>
    <row r="119" spans="2:12" x14ac:dyDescent="0.3">
      <c r="B119">
        <v>87</v>
      </c>
      <c r="C119">
        <v>4634.7748823113525</v>
      </c>
      <c r="E119">
        <v>87</v>
      </c>
      <c r="F119">
        <v>75249.995915269159</v>
      </c>
      <c r="H119">
        <v>87</v>
      </c>
      <c r="I119">
        <v>7790.6884912656942</v>
      </c>
      <c r="K119">
        <v>87</v>
      </c>
      <c r="L119">
        <v>17956.842859867062</v>
      </c>
    </row>
    <row r="120" spans="2:12" x14ac:dyDescent="0.3">
      <c r="B120">
        <v>88</v>
      </c>
      <c r="C120">
        <v>11747.759398132735</v>
      </c>
      <c r="E120">
        <v>88</v>
      </c>
      <c r="F120">
        <v>73056.477366881489</v>
      </c>
      <c r="H120">
        <v>88</v>
      </c>
      <c r="I120">
        <v>15207.999497676945</v>
      </c>
      <c r="K120">
        <v>88</v>
      </c>
      <c r="L120">
        <v>23849.393906020727</v>
      </c>
    </row>
    <row r="121" spans="2:12" x14ac:dyDescent="0.3">
      <c r="B121">
        <v>89</v>
      </c>
      <c r="C121">
        <v>6792.4898520498073</v>
      </c>
      <c r="E121">
        <v>89</v>
      </c>
      <c r="F121">
        <v>61522.872109101954</v>
      </c>
      <c r="H121">
        <v>89</v>
      </c>
      <c r="I121">
        <v>19765.520684712494</v>
      </c>
      <c r="K121">
        <v>89</v>
      </c>
      <c r="L121">
        <v>17012.363223928409</v>
      </c>
    </row>
    <row r="122" spans="2:12" x14ac:dyDescent="0.3">
      <c r="B122">
        <v>90</v>
      </c>
      <c r="C122">
        <v>7019.3665500181096</v>
      </c>
      <c r="E122">
        <v>90</v>
      </c>
      <c r="F122">
        <v>70157.985937860969</v>
      </c>
      <c r="H122">
        <v>90</v>
      </c>
      <c r="I122">
        <v>16749.179105511743</v>
      </c>
      <c r="K122">
        <v>90</v>
      </c>
      <c r="L122">
        <v>20288.180595317146</v>
      </c>
    </row>
    <row r="123" spans="2:12" x14ac:dyDescent="0.3">
      <c r="B123">
        <v>91</v>
      </c>
      <c r="C123">
        <v>11141.248220169735</v>
      </c>
      <c r="E123">
        <v>91</v>
      </c>
      <c r="F123">
        <v>78706.052098829401</v>
      </c>
      <c r="H123">
        <v>91</v>
      </c>
      <c r="I123">
        <v>6967.1700506357574</v>
      </c>
      <c r="K123">
        <v>91</v>
      </c>
      <c r="L123">
        <v>14113.098308002971</v>
      </c>
    </row>
    <row r="124" spans="2:12" x14ac:dyDescent="0.3">
      <c r="B124">
        <v>92</v>
      </c>
      <c r="C124">
        <v>9361.0729421299275</v>
      </c>
      <c r="E124">
        <v>92</v>
      </c>
      <c r="F124">
        <v>67137.893129128628</v>
      </c>
      <c r="H124">
        <v>92</v>
      </c>
      <c r="I124">
        <v>8260.1143079464109</v>
      </c>
      <c r="K124">
        <v>92</v>
      </c>
      <c r="L124">
        <v>22439.058769180883</v>
      </c>
    </row>
    <row r="125" spans="2:12" x14ac:dyDescent="0.3">
      <c r="B125">
        <v>93</v>
      </c>
      <c r="C125">
        <v>9608.9768182026219</v>
      </c>
      <c r="E125">
        <v>93</v>
      </c>
      <c r="F125">
        <v>73579.084037698922</v>
      </c>
      <c r="H125">
        <v>93</v>
      </c>
      <c r="I125">
        <v>16152.884327014695</v>
      </c>
      <c r="K125">
        <v>93</v>
      </c>
      <c r="L125">
        <v>21271.121142860837</v>
      </c>
    </row>
    <row r="126" spans="2:12" x14ac:dyDescent="0.3">
      <c r="B126">
        <v>94</v>
      </c>
      <c r="C126">
        <v>7942.4816444958897</v>
      </c>
      <c r="E126">
        <v>94</v>
      </c>
      <c r="F126">
        <v>78986.597388305687</v>
      </c>
      <c r="H126">
        <v>94</v>
      </c>
      <c r="I126">
        <v>9016.4877482575466</v>
      </c>
      <c r="K126">
        <v>94</v>
      </c>
      <c r="L126">
        <v>18117.989797659808</v>
      </c>
    </row>
    <row r="127" spans="2:12" x14ac:dyDescent="0.3">
      <c r="B127">
        <v>95</v>
      </c>
      <c r="C127">
        <v>4186.5339810998921</v>
      </c>
      <c r="E127">
        <v>95</v>
      </c>
      <c r="F127">
        <v>63276.733615385099</v>
      </c>
      <c r="H127">
        <v>95</v>
      </c>
      <c r="I127">
        <v>7265.0842218511016</v>
      </c>
      <c r="K127">
        <v>95</v>
      </c>
      <c r="L127">
        <v>16896.847455813273</v>
      </c>
    </row>
    <row r="128" spans="2:12" x14ac:dyDescent="0.3">
      <c r="B128">
        <v>96</v>
      </c>
      <c r="C128">
        <v>7042.3572960982729</v>
      </c>
      <c r="E128">
        <v>96</v>
      </c>
      <c r="F128">
        <v>69317.083876418241</v>
      </c>
      <c r="H128">
        <v>96</v>
      </c>
      <c r="I128">
        <v>20549.533280238185</v>
      </c>
      <c r="K128">
        <v>96</v>
      </c>
      <c r="L128">
        <v>12807.285605947054</v>
      </c>
    </row>
    <row r="129" spans="2:12" x14ac:dyDescent="0.3">
      <c r="B129">
        <v>97</v>
      </c>
      <c r="C129">
        <v>9150.2411258450084</v>
      </c>
      <c r="E129">
        <v>97</v>
      </c>
      <c r="F129">
        <v>79755.807801573421</v>
      </c>
      <c r="H129">
        <v>97</v>
      </c>
      <c r="I129">
        <v>8016.6341643720762</v>
      </c>
      <c r="K129">
        <v>97</v>
      </c>
      <c r="L129">
        <v>17011.827196457234</v>
      </c>
    </row>
    <row r="130" spans="2:12" x14ac:dyDescent="0.3">
      <c r="B130">
        <v>98</v>
      </c>
      <c r="C130">
        <v>1471.1196593999557</v>
      </c>
      <c r="E130">
        <v>98</v>
      </c>
      <c r="F130">
        <v>71376.094674498003</v>
      </c>
      <c r="H130">
        <v>98</v>
      </c>
      <c r="I130">
        <v>9614.3634936114577</v>
      </c>
      <c r="K130">
        <v>98</v>
      </c>
      <c r="L130">
        <v>20828.609271008518</v>
      </c>
    </row>
    <row r="131" spans="2:12" x14ac:dyDescent="0.3">
      <c r="B131">
        <v>99</v>
      </c>
      <c r="C131">
        <v>9218.487341379303</v>
      </c>
      <c r="E131">
        <v>99</v>
      </c>
      <c r="F131">
        <v>69101.355871893989</v>
      </c>
      <c r="H131">
        <v>99</v>
      </c>
      <c r="I131">
        <v>12872.712842505798</v>
      </c>
      <c r="K131">
        <v>99</v>
      </c>
      <c r="L131">
        <v>9429.7231124588416</v>
      </c>
    </row>
    <row r="132" spans="2:12" x14ac:dyDescent="0.3">
      <c r="B132">
        <v>100</v>
      </c>
      <c r="C132">
        <v>11812.181301742519</v>
      </c>
      <c r="E132">
        <v>100</v>
      </c>
      <c r="F132">
        <v>76902.420639562974</v>
      </c>
      <c r="H132">
        <v>100</v>
      </c>
      <c r="I132">
        <v>12104.827176669143</v>
      </c>
      <c r="K132">
        <v>100</v>
      </c>
      <c r="L132">
        <v>24933.14288229333</v>
      </c>
    </row>
    <row r="133" spans="2:12" x14ac:dyDescent="0.3">
      <c r="B133">
        <v>101</v>
      </c>
      <c r="C133">
        <v>7463.0419776916706</v>
      </c>
    </row>
    <row r="134" spans="2:12" x14ac:dyDescent="0.3">
      <c r="B134">
        <v>102</v>
      </c>
      <c r="C134">
        <v>9026.5687251046766</v>
      </c>
    </row>
    <row r="135" spans="2:12" x14ac:dyDescent="0.3">
      <c r="B135">
        <v>103</v>
      </c>
      <c r="C135">
        <v>4877.0258048946444</v>
      </c>
    </row>
    <row r="136" spans="2:12" x14ac:dyDescent="0.3">
      <c r="B136">
        <v>104</v>
      </c>
      <c r="C136">
        <v>7038.8535869528923</v>
      </c>
    </row>
    <row r="137" spans="2:12" x14ac:dyDescent="0.3">
      <c r="B137">
        <v>105</v>
      </c>
      <c r="C137">
        <v>2767.2229287021273</v>
      </c>
    </row>
    <row r="138" spans="2:12" x14ac:dyDescent="0.3">
      <c r="B138">
        <v>106</v>
      </c>
      <c r="C138">
        <v>9305.5008260602335</v>
      </c>
    </row>
    <row r="139" spans="2:12" x14ac:dyDescent="0.3">
      <c r="B139">
        <v>107</v>
      </c>
      <c r="C139">
        <v>6434.671474391761</v>
      </c>
    </row>
    <row r="140" spans="2:12" x14ac:dyDescent="0.3">
      <c r="B140">
        <v>108</v>
      </c>
      <c r="C140">
        <v>5798.049024121181</v>
      </c>
    </row>
    <row r="141" spans="2:12" x14ac:dyDescent="0.3">
      <c r="B141">
        <v>109</v>
      </c>
      <c r="C141">
        <v>5478.3308256170358</v>
      </c>
    </row>
    <row r="142" spans="2:12" x14ac:dyDescent="0.3">
      <c r="B142">
        <v>110</v>
      </c>
      <c r="C142">
        <v>11123.620522450339</v>
      </c>
    </row>
    <row r="143" spans="2:12" x14ac:dyDescent="0.3">
      <c r="B143">
        <v>111</v>
      </c>
      <c r="C143">
        <v>5032.5099909944747</v>
      </c>
    </row>
    <row r="144" spans="2:12" x14ac:dyDescent="0.3">
      <c r="B144">
        <v>112</v>
      </c>
      <c r="C144">
        <v>5555.2660617376259</v>
      </c>
    </row>
    <row r="145" spans="2:3" x14ac:dyDescent="0.3">
      <c r="B145">
        <v>113</v>
      </c>
      <c r="C145">
        <v>3408.3139560435434</v>
      </c>
    </row>
    <row r="146" spans="2:3" x14ac:dyDescent="0.3">
      <c r="B146">
        <v>114</v>
      </c>
      <c r="C146">
        <v>8600.6235976044445</v>
      </c>
    </row>
    <row r="147" spans="2:3" x14ac:dyDescent="0.3">
      <c r="B147">
        <v>115</v>
      </c>
      <c r="C147">
        <v>7854.7529466818478</v>
      </c>
    </row>
    <row r="148" spans="2:3" x14ac:dyDescent="0.3">
      <c r="B148">
        <v>116</v>
      </c>
      <c r="C148">
        <v>1587.0586120575513</v>
      </c>
    </row>
    <row r="149" spans="2:3" x14ac:dyDescent="0.3">
      <c r="B149">
        <v>117</v>
      </c>
      <c r="C149">
        <v>6443.713093854416</v>
      </c>
    </row>
    <row r="150" spans="2:3" x14ac:dyDescent="0.3">
      <c r="B150">
        <v>118</v>
      </c>
      <c r="C150">
        <v>7321.6787767205296</v>
      </c>
    </row>
    <row r="151" spans="2:3" x14ac:dyDescent="0.3">
      <c r="B151">
        <v>119</v>
      </c>
      <c r="C151">
        <v>5402.2509578511072</v>
      </c>
    </row>
    <row r="152" spans="2:3" x14ac:dyDescent="0.3">
      <c r="B152">
        <v>120</v>
      </c>
      <c r="C152">
        <v>7775.7379087676281</v>
      </c>
    </row>
    <row r="153" spans="2:3" x14ac:dyDescent="0.3">
      <c r="B153">
        <v>121</v>
      </c>
      <c r="C153">
        <v>8577.5997324554992</v>
      </c>
    </row>
    <row r="154" spans="2:3" x14ac:dyDescent="0.3">
      <c r="B154">
        <v>122</v>
      </c>
      <c r="C154">
        <v>1796.7507731473868</v>
      </c>
    </row>
    <row r="155" spans="2:3" x14ac:dyDescent="0.3">
      <c r="B155">
        <v>123</v>
      </c>
      <c r="C155">
        <v>6193.1225590913309</v>
      </c>
    </row>
    <row r="156" spans="2:3" x14ac:dyDescent="0.3">
      <c r="B156">
        <v>124</v>
      </c>
      <c r="C156">
        <v>7977.6747205510956</v>
      </c>
    </row>
    <row r="157" spans="2:3" x14ac:dyDescent="0.3">
      <c r="B157">
        <v>125</v>
      </c>
      <c r="C157">
        <v>8906.7645213208471</v>
      </c>
    </row>
    <row r="158" spans="2:3" x14ac:dyDescent="0.3">
      <c r="B158">
        <v>126</v>
      </c>
      <c r="C158">
        <v>1250.0913860064836</v>
      </c>
    </row>
    <row r="159" spans="2:3" x14ac:dyDescent="0.3">
      <c r="B159">
        <v>127</v>
      </c>
      <c r="C159">
        <v>10673.425054226953</v>
      </c>
    </row>
    <row r="160" spans="2:3" x14ac:dyDescent="0.3">
      <c r="B160">
        <v>128</v>
      </c>
      <c r="C160">
        <v>6225.7612397703624</v>
      </c>
    </row>
    <row r="161" spans="2:3" x14ac:dyDescent="0.3">
      <c r="B161">
        <v>129</v>
      </c>
      <c r="C161">
        <v>6288.3490232938411</v>
      </c>
    </row>
    <row r="162" spans="2:3" x14ac:dyDescent="0.3">
      <c r="B162">
        <v>130</v>
      </c>
      <c r="C162">
        <v>9209.1150121508308</v>
      </c>
    </row>
    <row r="163" spans="2:3" x14ac:dyDescent="0.3">
      <c r="B163">
        <v>131</v>
      </c>
      <c r="C163">
        <v>7071.5159392540281</v>
      </c>
    </row>
    <row r="164" spans="2:3" x14ac:dyDescent="0.3">
      <c r="B164">
        <v>132</v>
      </c>
      <c r="C164">
        <v>7999.7356733500992</v>
      </c>
    </row>
    <row r="165" spans="2:3" x14ac:dyDescent="0.3">
      <c r="B165">
        <v>133</v>
      </c>
      <c r="C165">
        <v>4375.8965807986842</v>
      </c>
    </row>
    <row r="166" spans="2:3" x14ac:dyDescent="0.3">
      <c r="B166">
        <v>134</v>
      </c>
      <c r="C166">
        <v>6231.0905189368214</v>
      </c>
    </row>
    <row r="167" spans="2:3" x14ac:dyDescent="0.3">
      <c r="B167">
        <v>135</v>
      </c>
      <c r="C167">
        <v>9484.0253968078832</v>
      </c>
    </row>
    <row r="168" spans="2:3" x14ac:dyDescent="0.3">
      <c r="B168">
        <v>136</v>
      </c>
      <c r="C168">
        <v>5987.8431981472304</v>
      </c>
    </row>
    <row r="169" spans="2:3" x14ac:dyDescent="0.3">
      <c r="B169">
        <v>137</v>
      </c>
      <c r="C169">
        <v>4097.1689645524284</v>
      </c>
    </row>
    <row r="170" spans="2:3" x14ac:dyDescent="0.3">
      <c r="B170">
        <v>138</v>
      </c>
      <c r="C170">
        <v>9933.279072160436</v>
      </c>
    </row>
    <row r="171" spans="2:3" x14ac:dyDescent="0.3">
      <c r="B171">
        <v>139</v>
      </c>
      <c r="C171">
        <v>5387.1958088418205</v>
      </c>
    </row>
    <row r="172" spans="2:3" x14ac:dyDescent="0.3">
      <c r="B172">
        <v>140</v>
      </c>
      <c r="C172">
        <v>8946.719974319647</v>
      </c>
    </row>
    <row r="173" spans="2:3" x14ac:dyDescent="0.3">
      <c r="B173">
        <v>141</v>
      </c>
      <c r="C173">
        <v>6500.3319629859907</v>
      </c>
    </row>
    <row r="174" spans="2:3" x14ac:dyDescent="0.3">
      <c r="B174">
        <v>142</v>
      </c>
      <c r="C174">
        <v>2078.8404664309105</v>
      </c>
    </row>
    <row r="175" spans="2:3" x14ac:dyDescent="0.3">
      <c r="B175">
        <v>143</v>
      </c>
      <c r="C175">
        <v>4395.0606645838097</v>
      </c>
    </row>
    <row r="176" spans="2:3" x14ac:dyDescent="0.3">
      <c r="B176">
        <v>144</v>
      </c>
      <c r="C176">
        <v>9680.9858419276134</v>
      </c>
    </row>
    <row r="177" spans="2:3" x14ac:dyDescent="0.3">
      <c r="B177">
        <v>145</v>
      </c>
      <c r="C177">
        <v>5341.2815216662684</v>
      </c>
    </row>
    <row r="178" spans="2:3" x14ac:dyDescent="0.3">
      <c r="B178">
        <v>146</v>
      </c>
      <c r="C178">
        <v>6633.277640281266</v>
      </c>
    </row>
    <row r="179" spans="2:3" x14ac:dyDescent="0.3">
      <c r="B179">
        <v>147</v>
      </c>
      <c r="C179">
        <v>8223.541876849391</v>
      </c>
    </row>
    <row r="180" spans="2:3" x14ac:dyDescent="0.3">
      <c r="B180">
        <v>148</v>
      </c>
      <c r="C180">
        <v>5591.1344359717505</v>
      </c>
    </row>
    <row r="181" spans="2:3" x14ac:dyDescent="0.3">
      <c r="B181">
        <v>149</v>
      </c>
      <c r="C181">
        <v>6641.1771174225551</v>
      </c>
    </row>
    <row r="182" spans="2:3" x14ac:dyDescent="0.3">
      <c r="B182">
        <v>150</v>
      </c>
      <c r="C182">
        <v>4619.530222446715</v>
      </c>
    </row>
    <row r="183" spans="2:3" x14ac:dyDescent="0.3">
      <c r="B183">
        <v>151</v>
      </c>
      <c r="C183">
        <v>7704.5168174384689</v>
      </c>
    </row>
    <row r="184" spans="2:3" x14ac:dyDescent="0.3">
      <c r="B184">
        <v>152</v>
      </c>
      <c r="C184">
        <v>9662.959061392874</v>
      </c>
    </row>
    <row r="185" spans="2:3" x14ac:dyDescent="0.3">
      <c r="B185">
        <v>153</v>
      </c>
      <c r="C185">
        <v>7522.7660599336887</v>
      </c>
    </row>
    <row r="186" spans="2:3" x14ac:dyDescent="0.3">
      <c r="B186">
        <v>154</v>
      </c>
      <c r="C186">
        <v>7541.41291583573</v>
      </c>
    </row>
    <row r="187" spans="2:3" x14ac:dyDescent="0.3">
      <c r="B187">
        <v>155</v>
      </c>
      <c r="C187">
        <v>8375.9852651675046</v>
      </c>
    </row>
    <row r="188" spans="2:3" x14ac:dyDescent="0.3">
      <c r="B188">
        <v>156</v>
      </c>
      <c r="C188">
        <v>10509.1803712813</v>
      </c>
    </row>
    <row r="189" spans="2:3" x14ac:dyDescent="0.3">
      <c r="B189">
        <v>157</v>
      </c>
      <c r="C189">
        <v>10713.654403387456</v>
      </c>
    </row>
    <row r="190" spans="2:3" x14ac:dyDescent="0.3">
      <c r="B190">
        <v>158</v>
      </c>
      <c r="C190">
        <v>10962.489976260826</v>
      </c>
    </row>
    <row r="191" spans="2:3" x14ac:dyDescent="0.3">
      <c r="B191">
        <v>159</v>
      </c>
      <c r="C191">
        <v>3900.5125414053477</v>
      </c>
    </row>
    <row r="192" spans="2:3" x14ac:dyDescent="0.3">
      <c r="B192">
        <v>160</v>
      </c>
      <c r="C192">
        <v>5903.3711694527929</v>
      </c>
    </row>
    <row r="193" spans="2:3" x14ac:dyDescent="0.3">
      <c r="B193">
        <v>161</v>
      </c>
      <c r="C193">
        <v>7274.4663218784081</v>
      </c>
    </row>
    <row r="194" spans="2:3" x14ac:dyDescent="0.3">
      <c r="B194">
        <v>162</v>
      </c>
      <c r="C194">
        <v>5881.8671220355936</v>
      </c>
    </row>
    <row r="195" spans="2:3" x14ac:dyDescent="0.3">
      <c r="B195">
        <v>163</v>
      </c>
      <c r="C195">
        <v>3522.8896553732234</v>
      </c>
    </row>
    <row r="196" spans="2:3" x14ac:dyDescent="0.3">
      <c r="B196">
        <v>164</v>
      </c>
      <c r="C196">
        <v>3189.2043411336758</v>
      </c>
    </row>
    <row r="197" spans="2:3" x14ac:dyDescent="0.3">
      <c r="B197">
        <v>165</v>
      </c>
      <c r="C197">
        <v>6983.2060213189725</v>
      </c>
    </row>
    <row r="198" spans="2:3" x14ac:dyDescent="0.3">
      <c r="B198">
        <v>166</v>
      </c>
      <c r="C198">
        <v>7999.6488068914514</v>
      </c>
    </row>
    <row r="199" spans="2:3" x14ac:dyDescent="0.3">
      <c r="B199">
        <v>167</v>
      </c>
      <c r="C199">
        <v>10099.823620279985</v>
      </c>
    </row>
    <row r="200" spans="2:3" x14ac:dyDescent="0.3">
      <c r="B200">
        <v>168</v>
      </c>
      <c r="C200">
        <v>2317.269620707174</v>
      </c>
    </row>
    <row r="201" spans="2:3" x14ac:dyDescent="0.3">
      <c r="B201">
        <v>169</v>
      </c>
      <c r="C201">
        <v>6086.2491552744887</v>
      </c>
    </row>
    <row r="202" spans="2:3" x14ac:dyDescent="0.3">
      <c r="B202">
        <v>170</v>
      </c>
      <c r="C202">
        <v>7057.4070678233466</v>
      </c>
    </row>
    <row r="203" spans="2:3" x14ac:dyDescent="0.3">
      <c r="B203">
        <v>171</v>
      </c>
      <c r="C203">
        <v>2652.851896407763</v>
      </c>
    </row>
    <row r="204" spans="2:3" x14ac:dyDescent="0.3">
      <c r="B204">
        <v>172</v>
      </c>
      <c r="C204">
        <v>8527.1237731138754</v>
      </c>
    </row>
    <row r="205" spans="2:3" x14ac:dyDescent="0.3">
      <c r="B205">
        <v>173</v>
      </c>
      <c r="C205">
        <v>7860.1369315681222</v>
      </c>
    </row>
    <row r="206" spans="2:3" x14ac:dyDescent="0.3">
      <c r="B206">
        <v>174</v>
      </c>
      <c r="C206">
        <v>2656.1993655893939</v>
      </c>
    </row>
    <row r="207" spans="2:3" x14ac:dyDescent="0.3">
      <c r="B207">
        <v>175</v>
      </c>
      <c r="C207">
        <v>8091.4022388952972</v>
      </c>
    </row>
    <row r="208" spans="2:3" x14ac:dyDescent="0.3">
      <c r="B208">
        <v>176</v>
      </c>
      <c r="C208">
        <v>6547.6658220926538</v>
      </c>
    </row>
    <row r="209" spans="2:3" x14ac:dyDescent="0.3">
      <c r="B209">
        <v>177</v>
      </c>
      <c r="C209">
        <v>5986.7994557334541</v>
      </c>
    </row>
    <row r="210" spans="2:3" x14ac:dyDescent="0.3">
      <c r="B210">
        <v>178</v>
      </c>
      <c r="C210">
        <v>9849.4075088176633</v>
      </c>
    </row>
    <row r="211" spans="2:3" x14ac:dyDescent="0.3">
      <c r="B211">
        <v>179</v>
      </c>
      <c r="C211">
        <v>2124.5466047438645</v>
      </c>
    </row>
    <row r="212" spans="2:3" x14ac:dyDescent="0.3">
      <c r="B212">
        <v>180</v>
      </c>
      <c r="C212">
        <v>2713.2024063285985</v>
      </c>
    </row>
    <row r="213" spans="2:3" x14ac:dyDescent="0.3">
      <c r="B213">
        <v>181</v>
      </c>
      <c r="C213">
        <v>9030.7132090605392</v>
      </c>
    </row>
    <row r="214" spans="2:3" x14ac:dyDescent="0.3">
      <c r="B214">
        <v>182</v>
      </c>
      <c r="C214">
        <v>7207.5553296186754</v>
      </c>
    </row>
    <row r="215" spans="2:3" x14ac:dyDescent="0.3">
      <c r="B215">
        <v>183</v>
      </c>
      <c r="C215">
        <v>8830.9264831303717</v>
      </c>
    </row>
    <row r="216" spans="2:3" x14ac:dyDescent="0.3">
      <c r="B216">
        <v>184</v>
      </c>
      <c r="C216">
        <v>9511.5872139034436</v>
      </c>
    </row>
    <row r="217" spans="2:3" x14ac:dyDescent="0.3">
      <c r="B217">
        <v>185</v>
      </c>
      <c r="C217">
        <v>5646.5100379893729</v>
      </c>
    </row>
    <row r="218" spans="2:3" x14ac:dyDescent="0.3">
      <c r="B218">
        <v>186</v>
      </c>
      <c r="C218">
        <v>7950.8651020781217</v>
      </c>
    </row>
    <row r="219" spans="2:3" x14ac:dyDescent="0.3">
      <c r="B219">
        <v>187</v>
      </c>
      <c r="C219">
        <v>6074.2295238946117</v>
      </c>
    </row>
    <row r="220" spans="2:3" x14ac:dyDescent="0.3">
      <c r="B220">
        <v>188</v>
      </c>
      <c r="C220">
        <v>8684.5670073067304</v>
      </c>
    </row>
    <row r="221" spans="2:3" x14ac:dyDescent="0.3">
      <c r="B221">
        <v>189</v>
      </c>
      <c r="C221">
        <v>9607.2513935770112</v>
      </c>
    </row>
    <row r="222" spans="2:3" x14ac:dyDescent="0.3">
      <c r="B222">
        <v>190</v>
      </c>
      <c r="C222">
        <v>4247.4892311672947</v>
      </c>
    </row>
    <row r="223" spans="2:3" x14ac:dyDescent="0.3">
      <c r="B223">
        <v>191</v>
      </c>
      <c r="C223">
        <v>10269.465175591757</v>
      </c>
    </row>
    <row r="224" spans="2:3" x14ac:dyDescent="0.3">
      <c r="B224">
        <v>192</v>
      </c>
      <c r="C224">
        <v>8207.1222043719172</v>
      </c>
    </row>
    <row r="225" spans="2:3" x14ac:dyDescent="0.3">
      <c r="B225">
        <v>193</v>
      </c>
      <c r="C225">
        <v>5969.3091855860785</v>
      </c>
    </row>
    <row r="226" spans="2:3" x14ac:dyDescent="0.3">
      <c r="B226">
        <v>194</v>
      </c>
      <c r="C226">
        <v>7218.555661374362</v>
      </c>
    </row>
    <row r="227" spans="2:3" x14ac:dyDescent="0.3">
      <c r="B227">
        <v>195</v>
      </c>
      <c r="C227">
        <v>10473.168259140279</v>
      </c>
    </row>
    <row r="228" spans="2:3" x14ac:dyDescent="0.3">
      <c r="B228">
        <v>196</v>
      </c>
      <c r="C228">
        <v>9857.9580816352427</v>
      </c>
    </row>
    <row r="229" spans="2:3" x14ac:dyDescent="0.3">
      <c r="B229">
        <v>197</v>
      </c>
      <c r="C229">
        <v>4924.7005355795009</v>
      </c>
    </row>
    <row r="230" spans="2:3" x14ac:dyDescent="0.3">
      <c r="B230">
        <v>198</v>
      </c>
      <c r="C230">
        <v>4846.969878855708</v>
      </c>
    </row>
    <row r="231" spans="2:3" x14ac:dyDescent="0.3">
      <c r="B231">
        <v>199</v>
      </c>
      <c r="C231">
        <v>4789.4749451729131</v>
      </c>
    </row>
    <row r="232" spans="2:3" x14ac:dyDescent="0.3">
      <c r="B232">
        <v>200</v>
      </c>
      <c r="C232">
        <v>7338.6189959369976</v>
      </c>
    </row>
    <row r="233" spans="2:3" x14ac:dyDescent="0.3">
      <c r="B233">
        <v>201</v>
      </c>
      <c r="C233">
        <v>7312.4216729573554</v>
      </c>
    </row>
    <row r="234" spans="2:3" x14ac:dyDescent="0.3">
      <c r="B234">
        <v>202</v>
      </c>
      <c r="C234">
        <v>10673.444388845021</v>
      </c>
    </row>
    <row r="235" spans="2:3" x14ac:dyDescent="0.3">
      <c r="B235">
        <v>203</v>
      </c>
      <c r="C235">
        <v>5378.6645876275206</v>
      </c>
    </row>
    <row r="236" spans="2:3" x14ac:dyDescent="0.3">
      <c r="B236">
        <v>204</v>
      </c>
      <c r="C236">
        <v>7550.4726044208901</v>
      </c>
    </row>
    <row r="237" spans="2:3" x14ac:dyDescent="0.3">
      <c r="B237">
        <v>205</v>
      </c>
      <c r="C237">
        <v>11882.107250561787</v>
      </c>
    </row>
    <row r="238" spans="2:3" x14ac:dyDescent="0.3">
      <c r="B238">
        <v>206</v>
      </c>
      <c r="C238">
        <v>11190.332297176628</v>
      </c>
    </row>
    <row r="239" spans="2:3" x14ac:dyDescent="0.3">
      <c r="B239">
        <v>207</v>
      </c>
      <c r="C239">
        <v>8988.0901237538037</v>
      </c>
    </row>
    <row r="240" spans="2:3" x14ac:dyDescent="0.3">
      <c r="B240">
        <v>208</v>
      </c>
      <c r="C240">
        <v>7608.1320542340891</v>
      </c>
    </row>
    <row r="241" spans="2:3" x14ac:dyDescent="0.3">
      <c r="B241">
        <v>209</v>
      </c>
      <c r="C241">
        <v>8096.2802879620567</v>
      </c>
    </row>
    <row r="242" spans="2:3" x14ac:dyDescent="0.3">
      <c r="B242">
        <v>210</v>
      </c>
      <c r="C242">
        <v>6631.5175725627678</v>
      </c>
    </row>
    <row r="243" spans="2:3" x14ac:dyDescent="0.3">
      <c r="B243">
        <v>211</v>
      </c>
      <c r="C243">
        <v>5494.3590322405516</v>
      </c>
    </row>
    <row r="244" spans="2:3" x14ac:dyDescent="0.3">
      <c r="B244">
        <v>212</v>
      </c>
      <c r="C244">
        <v>5661.0853607555855</v>
      </c>
    </row>
    <row r="245" spans="2:3" x14ac:dyDescent="0.3">
      <c r="B245">
        <v>213</v>
      </c>
      <c r="C245">
        <v>8506.520476855434</v>
      </c>
    </row>
    <row r="246" spans="2:3" x14ac:dyDescent="0.3">
      <c r="B246">
        <v>214</v>
      </c>
      <c r="C246">
        <v>8878.5328973228861</v>
      </c>
    </row>
    <row r="247" spans="2:3" x14ac:dyDescent="0.3">
      <c r="B247">
        <v>215</v>
      </c>
      <c r="C247">
        <v>10880.758607677115</v>
      </c>
    </row>
    <row r="248" spans="2:3" x14ac:dyDescent="0.3">
      <c r="B248">
        <v>216</v>
      </c>
      <c r="C248">
        <v>10510.854233562939</v>
      </c>
    </row>
    <row r="249" spans="2:3" x14ac:dyDescent="0.3">
      <c r="B249">
        <v>217</v>
      </c>
      <c r="C249">
        <v>4716.7137978703258</v>
      </c>
    </row>
    <row r="250" spans="2:3" x14ac:dyDescent="0.3">
      <c r="B250">
        <v>218</v>
      </c>
      <c r="C250">
        <v>8273.9445423159159</v>
      </c>
    </row>
    <row r="251" spans="2:3" x14ac:dyDescent="0.3">
      <c r="B251">
        <v>219</v>
      </c>
      <c r="C251">
        <v>8248.8103354034247</v>
      </c>
    </row>
    <row r="252" spans="2:3" x14ac:dyDescent="0.3">
      <c r="B252">
        <v>220</v>
      </c>
      <c r="C252">
        <v>11707.090563679965</v>
      </c>
    </row>
    <row r="253" spans="2:3" x14ac:dyDescent="0.3">
      <c r="B253">
        <v>221</v>
      </c>
      <c r="C253">
        <v>8779.2761470357982</v>
      </c>
    </row>
    <row r="254" spans="2:3" x14ac:dyDescent="0.3">
      <c r="B254">
        <v>222</v>
      </c>
      <c r="C254">
        <v>1123.2057117113277</v>
      </c>
    </row>
    <row r="255" spans="2:3" x14ac:dyDescent="0.3">
      <c r="B255">
        <v>223</v>
      </c>
      <c r="C255">
        <v>6280.5639852825097</v>
      </c>
    </row>
    <row r="256" spans="2:3" x14ac:dyDescent="0.3">
      <c r="B256">
        <v>224</v>
      </c>
      <c r="C256">
        <v>9507.5756463108519</v>
      </c>
    </row>
    <row r="257" spans="2:3" x14ac:dyDescent="0.3">
      <c r="B257">
        <v>225</v>
      </c>
      <c r="C257">
        <v>8022.2406555653915</v>
      </c>
    </row>
    <row r="258" spans="2:3" x14ac:dyDescent="0.3">
      <c r="B258">
        <v>226</v>
      </c>
      <c r="C258">
        <v>8113.0946783670115</v>
      </c>
    </row>
    <row r="259" spans="2:3" x14ac:dyDescent="0.3">
      <c r="B259">
        <v>227</v>
      </c>
      <c r="C259">
        <v>3825.1183577271181</v>
      </c>
    </row>
    <row r="260" spans="2:3" x14ac:dyDescent="0.3">
      <c r="B260">
        <v>228</v>
      </c>
      <c r="C260">
        <v>10356.545305169457</v>
      </c>
    </row>
    <row r="261" spans="2:3" x14ac:dyDescent="0.3">
      <c r="B261">
        <v>229</v>
      </c>
      <c r="C261">
        <v>3789.536679987893</v>
      </c>
    </row>
    <row r="262" spans="2:3" x14ac:dyDescent="0.3">
      <c r="B262">
        <v>230</v>
      </c>
      <c r="C262">
        <v>6413.0246804575636</v>
      </c>
    </row>
    <row r="263" spans="2:3" x14ac:dyDescent="0.3">
      <c r="B263">
        <v>231</v>
      </c>
      <c r="C263">
        <v>11988.223873826284</v>
      </c>
    </row>
    <row r="264" spans="2:3" x14ac:dyDescent="0.3">
      <c r="B264">
        <v>232</v>
      </c>
      <c r="C264">
        <v>7137.0609872531304</v>
      </c>
    </row>
    <row r="265" spans="2:3" x14ac:dyDescent="0.3">
      <c r="B265">
        <v>233</v>
      </c>
      <c r="C265">
        <v>7302.6755924254057</v>
      </c>
    </row>
    <row r="266" spans="2:3" x14ac:dyDescent="0.3">
      <c r="B266">
        <v>234</v>
      </c>
      <c r="C266">
        <v>10215.569062146244</v>
      </c>
    </row>
    <row r="267" spans="2:3" x14ac:dyDescent="0.3">
      <c r="B267">
        <v>235</v>
      </c>
      <c r="C267">
        <v>6332.4459744351707</v>
      </c>
    </row>
    <row r="268" spans="2:3" x14ac:dyDescent="0.3">
      <c r="B268">
        <v>236</v>
      </c>
      <c r="C268">
        <v>5661.5937190438399</v>
      </c>
    </row>
    <row r="269" spans="2:3" x14ac:dyDescent="0.3">
      <c r="B269">
        <v>237</v>
      </c>
      <c r="C269">
        <v>10866.30800999545</v>
      </c>
    </row>
    <row r="270" spans="2:3" x14ac:dyDescent="0.3">
      <c r="B270">
        <v>238</v>
      </c>
      <c r="C270">
        <v>9233.9915021904526</v>
      </c>
    </row>
    <row r="271" spans="2:3" x14ac:dyDescent="0.3">
      <c r="B271">
        <v>239</v>
      </c>
      <c r="C271">
        <v>9225.6976576742854</v>
      </c>
    </row>
    <row r="272" spans="2:3" x14ac:dyDescent="0.3">
      <c r="B272">
        <v>240</v>
      </c>
      <c r="C272">
        <v>5507.2954332425461</v>
      </c>
    </row>
    <row r="273" spans="2:3" x14ac:dyDescent="0.3">
      <c r="B273">
        <v>241</v>
      </c>
      <c r="C273">
        <v>805.7380114292738</v>
      </c>
    </row>
    <row r="274" spans="2:3" x14ac:dyDescent="0.3">
      <c r="B274">
        <v>242</v>
      </c>
      <c r="C274">
        <v>6293.2806050250529</v>
      </c>
    </row>
    <row r="275" spans="2:3" x14ac:dyDescent="0.3">
      <c r="B275">
        <v>243</v>
      </c>
      <c r="C275">
        <v>7773.8709455676862</v>
      </c>
    </row>
    <row r="276" spans="2:3" x14ac:dyDescent="0.3">
      <c r="B276">
        <v>244</v>
      </c>
      <c r="C276">
        <v>1952.4104043367304</v>
      </c>
    </row>
    <row r="277" spans="2:3" x14ac:dyDescent="0.3">
      <c r="B277">
        <v>245</v>
      </c>
      <c r="C277">
        <v>4904.8997521842621</v>
      </c>
    </row>
    <row r="278" spans="2:3" x14ac:dyDescent="0.3">
      <c r="B278">
        <v>246</v>
      </c>
      <c r="C278">
        <v>8599.5638560376119</v>
      </c>
    </row>
    <row r="279" spans="2:3" x14ac:dyDescent="0.3">
      <c r="B279">
        <v>247</v>
      </c>
      <c r="C279">
        <v>4623.8058660147317</v>
      </c>
    </row>
    <row r="280" spans="2:3" x14ac:dyDescent="0.3">
      <c r="B280">
        <v>248</v>
      </c>
      <c r="C280">
        <v>2824.7837533658899</v>
      </c>
    </row>
    <row r="281" spans="2:3" x14ac:dyDescent="0.3">
      <c r="B281">
        <v>249</v>
      </c>
      <c r="C281">
        <v>5553.0433132276303</v>
      </c>
    </row>
    <row r="282" spans="2:3" x14ac:dyDescent="0.3">
      <c r="B282">
        <v>250</v>
      </c>
      <c r="C282">
        <v>9422.5710901017083</v>
      </c>
    </row>
    <row r="283" spans="2:3" x14ac:dyDescent="0.3">
      <c r="B283">
        <v>251</v>
      </c>
      <c r="C283">
        <v>10963.512288152006</v>
      </c>
    </row>
    <row r="284" spans="2:3" x14ac:dyDescent="0.3">
      <c r="B284">
        <v>252</v>
      </c>
      <c r="C284">
        <v>9469.5654549342598</v>
      </c>
    </row>
    <row r="285" spans="2:3" x14ac:dyDescent="0.3">
      <c r="B285">
        <v>253</v>
      </c>
      <c r="C285">
        <v>8271.7954725429045</v>
      </c>
    </row>
    <row r="286" spans="2:3" x14ac:dyDescent="0.3">
      <c r="B286">
        <v>254</v>
      </c>
      <c r="C286">
        <v>5590.0337173392618</v>
      </c>
    </row>
    <row r="287" spans="2:3" x14ac:dyDescent="0.3">
      <c r="B287">
        <v>255</v>
      </c>
      <c r="C287">
        <v>7320.6381024818147</v>
      </c>
    </row>
    <row r="288" spans="2:3" x14ac:dyDescent="0.3">
      <c r="B288">
        <v>256</v>
      </c>
      <c r="C288">
        <v>10305.510550377998</v>
      </c>
    </row>
    <row r="289" spans="2:3" x14ac:dyDescent="0.3">
      <c r="B289">
        <v>257</v>
      </c>
      <c r="C289">
        <v>10579.229193814585</v>
      </c>
    </row>
    <row r="290" spans="2:3" x14ac:dyDescent="0.3">
      <c r="B290">
        <v>258</v>
      </c>
      <c r="C290">
        <v>5998.6982769426495</v>
      </c>
    </row>
    <row r="291" spans="2:3" x14ac:dyDescent="0.3">
      <c r="B291">
        <v>259</v>
      </c>
      <c r="C291">
        <v>3793.5178802031437</v>
      </c>
    </row>
    <row r="292" spans="2:3" x14ac:dyDescent="0.3">
      <c r="B292">
        <v>260</v>
      </c>
      <c r="C292">
        <v>2311.3681676038632</v>
      </c>
    </row>
    <row r="293" spans="2:3" x14ac:dyDescent="0.3">
      <c r="B293">
        <v>261</v>
      </c>
      <c r="C293">
        <v>6764.7658131742737</v>
      </c>
    </row>
    <row r="294" spans="2:3" x14ac:dyDescent="0.3">
      <c r="B294">
        <v>262</v>
      </c>
      <c r="C294">
        <v>5990.6609772159163</v>
      </c>
    </row>
    <row r="295" spans="2:3" x14ac:dyDescent="0.3">
      <c r="B295">
        <v>263</v>
      </c>
      <c r="C295">
        <v>10112.387670521279</v>
      </c>
    </row>
    <row r="296" spans="2:3" x14ac:dyDescent="0.3">
      <c r="B296">
        <v>264</v>
      </c>
      <c r="C296">
        <v>10404.877579621203</v>
      </c>
    </row>
    <row r="297" spans="2:3" x14ac:dyDescent="0.3">
      <c r="B297">
        <v>265</v>
      </c>
      <c r="C297">
        <v>8943.7940432236683</v>
      </c>
    </row>
    <row r="298" spans="2:3" x14ac:dyDescent="0.3">
      <c r="B298">
        <v>266</v>
      </c>
      <c r="C298">
        <v>3523.7243141632234</v>
      </c>
    </row>
    <row r="299" spans="2:3" x14ac:dyDescent="0.3">
      <c r="B299">
        <v>267</v>
      </c>
      <c r="C299">
        <v>8119.8760797321811</v>
      </c>
    </row>
    <row r="300" spans="2:3" x14ac:dyDescent="0.3">
      <c r="B300">
        <v>268</v>
      </c>
      <c r="C300">
        <v>3511.9843452896434</v>
      </c>
    </row>
    <row r="301" spans="2:3" x14ac:dyDescent="0.3">
      <c r="B301">
        <v>269</v>
      </c>
      <c r="C301">
        <v>12118.158317337527</v>
      </c>
    </row>
    <row r="302" spans="2:3" x14ac:dyDescent="0.3">
      <c r="B302">
        <v>270</v>
      </c>
      <c r="C302">
        <v>9874.4644124792321</v>
      </c>
    </row>
    <row r="303" spans="2:3" x14ac:dyDescent="0.3">
      <c r="B303">
        <v>271</v>
      </c>
      <c r="C303">
        <v>7044.3409049637239</v>
      </c>
    </row>
    <row r="304" spans="2:3" x14ac:dyDescent="0.3">
      <c r="B304">
        <v>272</v>
      </c>
      <c r="C304">
        <v>10240.976484141254</v>
      </c>
    </row>
    <row r="305" spans="2:3" x14ac:dyDescent="0.3">
      <c r="B305">
        <v>273</v>
      </c>
      <c r="C305">
        <v>10555.987137811877</v>
      </c>
    </row>
    <row r="306" spans="2:3" x14ac:dyDescent="0.3">
      <c r="B306">
        <v>274</v>
      </c>
      <c r="C306">
        <v>6141.3387124222509</v>
      </c>
    </row>
    <row r="307" spans="2:3" x14ac:dyDescent="0.3">
      <c r="B307">
        <v>275</v>
      </c>
      <c r="C307">
        <v>7498.1587135983546</v>
      </c>
    </row>
    <row r="308" spans="2:3" x14ac:dyDescent="0.3">
      <c r="B308">
        <v>276</v>
      </c>
      <c r="C308">
        <v>4388.6461392716647</v>
      </c>
    </row>
    <row r="309" spans="2:3" x14ac:dyDescent="0.3">
      <c r="B309">
        <v>277</v>
      </c>
      <c r="C309">
        <v>6954.3971795947609</v>
      </c>
    </row>
    <row r="310" spans="2:3" x14ac:dyDescent="0.3">
      <c r="B310">
        <v>278</v>
      </c>
      <c r="C310">
        <v>7218.4814366061746</v>
      </c>
    </row>
    <row r="311" spans="2:3" x14ac:dyDescent="0.3">
      <c r="B311">
        <v>279</v>
      </c>
      <c r="C311">
        <v>5630.8559572874083</v>
      </c>
    </row>
    <row r="312" spans="2:3" x14ac:dyDescent="0.3">
      <c r="B312">
        <v>280</v>
      </c>
      <c r="C312">
        <v>10462.313489563257</v>
      </c>
    </row>
    <row r="313" spans="2:3" x14ac:dyDescent="0.3">
      <c r="B313">
        <v>281</v>
      </c>
      <c r="C313">
        <v>4174.9794538451288</v>
      </c>
    </row>
    <row r="314" spans="2:3" x14ac:dyDescent="0.3">
      <c r="B314">
        <v>282</v>
      </c>
      <c r="C314">
        <v>9053.9371705130688</v>
      </c>
    </row>
    <row r="315" spans="2:3" x14ac:dyDescent="0.3">
      <c r="B315">
        <v>283</v>
      </c>
      <c r="C315">
        <v>9127.1530556646394</v>
      </c>
    </row>
    <row r="316" spans="2:3" x14ac:dyDescent="0.3">
      <c r="B316">
        <v>284</v>
      </c>
      <c r="C316">
        <v>4205.1536090972331</v>
      </c>
    </row>
    <row r="317" spans="2:3" x14ac:dyDescent="0.3">
      <c r="B317">
        <v>285</v>
      </c>
      <c r="C317">
        <v>1611.5104847249718</v>
      </c>
    </row>
    <row r="318" spans="2:3" x14ac:dyDescent="0.3">
      <c r="B318">
        <v>286</v>
      </c>
      <c r="C318">
        <v>8673.1425200898957</v>
      </c>
    </row>
    <row r="319" spans="2:3" x14ac:dyDescent="0.3">
      <c r="B319">
        <v>287</v>
      </c>
      <c r="C319">
        <v>3640.4684298020779</v>
      </c>
    </row>
    <row r="320" spans="2:3" x14ac:dyDescent="0.3">
      <c r="B320">
        <v>288</v>
      </c>
      <c r="C320">
        <v>3023.0147145818069</v>
      </c>
    </row>
    <row r="321" spans="2:3" x14ac:dyDescent="0.3">
      <c r="B321">
        <v>289</v>
      </c>
      <c r="C321">
        <v>8146.6837120399077</v>
      </c>
    </row>
    <row r="322" spans="2:3" x14ac:dyDescent="0.3">
      <c r="B322">
        <v>290</v>
      </c>
      <c r="C322">
        <v>4093.2320874078932</v>
      </c>
    </row>
    <row r="323" spans="2:3" x14ac:dyDescent="0.3">
      <c r="B323">
        <v>291</v>
      </c>
      <c r="C323">
        <v>6392.9397044960206</v>
      </c>
    </row>
    <row r="324" spans="2:3" x14ac:dyDescent="0.3">
      <c r="B324">
        <v>292</v>
      </c>
      <c r="C324">
        <v>11482.769123120805</v>
      </c>
    </row>
    <row r="325" spans="2:3" x14ac:dyDescent="0.3">
      <c r="B325">
        <v>293</v>
      </c>
      <c r="C325">
        <v>10382.203344561221</v>
      </c>
    </row>
    <row r="326" spans="2:3" x14ac:dyDescent="0.3">
      <c r="B326">
        <v>294</v>
      </c>
      <c r="C326">
        <v>6717.1856422417995</v>
      </c>
    </row>
    <row r="327" spans="2:3" x14ac:dyDescent="0.3">
      <c r="B327">
        <v>295</v>
      </c>
      <c r="C327">
        <v>11129.26032761609</v>
      </c>
    </row>
    <row r="328" spans="2:3" x14ac:dyDescent="0.3">
      <c r="B328">
        <v>296</v>
      </c>
      <c r="C328">
        <v>9138.6254565485378</v>
      </c>
    </row>
    <row r="329" spans="2:3" x14ac:dyDescent="0.3">
      <c r="B329">
        <v>297</v>
      </c>
      <c r="C329">
        <v>6890.9787716922028</v>
      </c>
    </row>
    <row r="330" spans="2:3" x14ac:dyDescent="0.3">
      <c r="B330">
        <v>298</v>
      </c>
      <c r="C330">
        <v>4016.3336135563459</v>
      </c>
    </row>
    <row r="331" spans="2:3" x14ac:dyDescent="0.3">
      <c r="B331">
        <v>299</v>
      </c>
      <c r="C331">
        <v>6888.765583876303</v>
      </c>
    </row>
    <row r="332" spans="2:3" x14ac:dyDescent="0.3">
      <c r="B332">
        <v>300</v>
      </c>
      <c r="C332">
        <v>7813.799617630727</v>
      </c>
    </row>
    <row r="333" spans="2:3" x14ac:dyDescent="0.3">
      <c r="B333">
        <v>301</v>
      </c>
      <c r="C333">
        <v>10489.766792920153</v>
      </c>
    </row>
    <row r="334" spans="2:3" x14ac:dyDescent="0.3">
      <c r="B334">
        <v>302</v>
      </c>
      <c r="C334">
        <v>11624.348632150539</v>
      </c>
    </row>
    <row r="335" spans="2:3" x14ac:dyDescent="0.3">
      <c r="B335">
        <v>303</v>
      </c>
      <c r="C335">
        <v>8411.1149379715971</v>
      </c>
    </row>
    <row r="336" spans="2:3" x14ac:dyDescent="0.3">
      <c r="B336">
        <v>304</v>
      </c>
      <c r="C336">
        <v>4044.7369660464656</v>
      </c>
    </row>
    <row r="337" spans="2:3" x14ac:dyDescent="0.3">
      <c r="B337">
        <v>305</v>
      </c>
      <c r="C337">
        <v>4567.1375092219287</v>
      </c>
    </row>
    <row r="338" spans="2:3" x14ac:dyDescent="0.3">
      <c r="B338">
        <v>306</v>
      </c>
      <c r="C338">
        <v>10904.221512657423</v>
      </c>
    </row>
    <row r="339" spans="2:3" x14ac:dyDescent="0.3">
      <c r="B339">
        <v>307</v>
      </c>
      <c r="C339">
        <v>5116.248745678341</v>
      </c>
    </row>
    <row r="340" spans="2:3" x14ac:dyDescent="0.3">
      <c r="B340">
        <v>308</v>
      </c>
      <c r="C340">
        <v>3907.4465837554417</v>
      </c>
    </row>
    <row r="341" spans="2:3" x14ac:dyDescent="0.3">
      <c r="B341">
        <v>309</v>
      </c>
      <c r="C341">
        <v>11455.4593480781</v>
      </c>
    </row>
    <row r="342" spans="2:3" x14ac:dyDescent="0.3">
      <c r="B342">
        <v>310</v>
      </c>
      <c r="C342">
        <v>9766.2064942669876</v>
      </c>
    </row>
    <row r="343" spans="2:3" x14ac:dyDescent="0.3">
      <c r="B343">
        <v>311</v>
      </c>
      <c r="C343">
        <v>5702.9133216523342</v>
      </c>
    </row>
    <row r="344" spans="2:3" x14ac:dyDescent="0.3">
      <c r="B344">
        <v>312</v>
      </c>
      <c r="C344">
        <v>9482.6933075400084</v>
      </c>
    </row>
    <row r="345" spans="2:3" x14ac:dyDescent="0.3">
      <c r="B345">
        <v>313</v>
      </c>
      <c r="C345">
        <v>5153.1930515555341</v>
      </c>
    </row>
    <row r="346" spans="2:3" x14ac:dyDescent="0.3">
      <c r="B346">
        <v>314</v>
      </c>
      <c r="C346">
        <v>5121.3687443530216</v>
      </c>
    </row>
    <row r="347" spans="2:3" x14ac:dyDescent="0.3">
      <c r="B347">
        <v>315</v>
      </c>
      <c r="C347">
        <v>6719.619140693856</v>
      </c>
    </row>
    <row r="348" spans="2:3" x14ac:dyDescent="0.3">
      <c r="B348">
        <v>316</v>
      </c>
      <c r="C348">
        <v>4953.658580719004</v>
      </c>
    </row>
    <row r="349" spans="2:3" x14ac:dyDescent="0.3">
      <c r="B349">
        <v>317</v>
      </c>
      <c r="C349">
        <v>5297.7030661502431</v>
      </c>
    </row>
    <row r="350" spans="2:3" x14ac:dyDescent="0.3">
      <c r="B350">
        <v>318</v>
      </c>
      <c r="C350">
        <v>4579.5210046219581</v>
      </c>
    </row>
    <row r="351" spans="2:3" x14ac:dyDescent="0.3">
      <c r="B351">
        <v>319</v>
      </c>
      <c r="C351">
        <v>9529.0044495641832</v>
      </c>
    </row>
    <row r="352" spans="2:3" x14ac:dyDescent="0.3">
      <c r="B352">
        <v>320</v>
      </c>
      <c r="C352">
        <v>6913.295863130973</v>
      </c>
    </row>
    <row r="353" spans="2:3" x14ac:dyDescent="0.3">
      <c r="B353">
        <v>321</v>
      </c>
      <c r="C353">
        <v>9240.2539920064428</v>
      </c>
    </row>
    <row r="354" spans="2:3" x14ac:dyDescent="0.3">
      <c r="B354">
        <v>322</v>
      </c>
      <c r="C354">
        <v>7160.7717298756406</v>
      </c>
    </row>
    <row r="355" spans="2:3" x14ac:dyDescent="0.3">
      <c r="B355">
        <v>323</v>
      </c>
      <c r="C355">
        <v>8316.2443145013131</v>
      </c>
    </row>
    <row r="356" spans="2:3" x14ac:dyDescent="0.3">
      <c r="B356">
        <v>324</v>
      </c>
      <c r="C356">
        <v>2785.9795855247739</v>
      </c>
    </row>
    <row r="357" spans="2:3" x14ac:dyDescent="0.3">
      <c r="B357">
        <v>325</v>
      </c>
      <c r="C357">
        <v>6835.578799257476</v>
      </c>
    </row>
    <row r="358" spans="2:3" x14ac:dyDescent="0.3">
      <c r="B358">
        <v>326</v>
      </c>
      <c r="C358">
        <v>11485.985969423078</v>
      </c>
    </row>
    <row r="359" spans="2:3" x14ac:dyDescent="0.3">
      <c r="B359">
        <v>327</v>
      </c>
      <c r="C359">
        <v>5804.6617966548556</v>
      </c>
    </row>
    <row r="360" spans="2:3" x14ac:dyDescent="0.3">
      <c r="B360">
        <v>328</v>
      </c>
      <c r="C360">
        <v>8270.8486516917219</v>
      </c>
    </row>
    <row r="361" spans="2:3" x14ac:dyDescent="0.3">
      <c r="B361">
        <v>329</v>
      </c>
      <c r="C361">
        <v>7064.1244895047048</v>
      </c>
    </row>
    <row r="362" spans="2:3" x14ac:dyDescent="0.3">
      <c r="B362">
        <v>330</v>
      </c>
      <c r="C362">
        <v>5769.6885183409267</v>
      </c>
    </row>
    <row r="363" spans="2:3" x14ac:dyDescent="0.3">
      <c r="B363">
        <v>331</v>
      </c>
      <c r="C363">
        <v>8919.1727257834318</v>
      </c>
    </row>
    <row r="364" spans="2:3" x14ac:dyDescent="0.3">
      <c r="B364">
        <v>332</v>
      </c>
      <c r="C364">
        <v>2533.1233302902942</v>
      </c>
    </row>
    <row r="365" spans="2:3" x14ac:dyDescent="0.3">
      <c r="B365">
        <v>333</v>
      </c>
      <c r="C365">
        <v>7056.3959441408815</v>
      </c>
    </row>
    <row r="366" spans="2:3" x14ac:dyDescent="0.3">
      <c r="B366">
        <v>334</v>
      </c>
      <c r="C366">
        <v>6212.994673117335</v>
      </c>
    </row>
    <row r="367" spans="2:3" x14ac:dyDescent="0.3">
      <c r="B367">
        <v>335</v>
      </c>
      <c r="C367">
        <v>5761.3271084858306</v>
      </c>
    </row>
    <row r="368" spans="2:3" x14ac:dyDescent="0.3">
      <c r="B368">
        <v>336</v>
      </c>
      <c r="C368">
        <v>9024.4660894399149</v>
      </c>
    </row>
    <row r="369" spans="2:3" x14ac:dyDescent="0.3">
      <c r="B369">
        <v>337</v>
      </c>
      <c r="C369">
        <v>4351.9592112642458</v>
      </c>
    </row>
    <row r="370" spans="2:3" x14ac:dyDescent="0.3">
      <c r="B370">
        <v>338</v>
      </c>
      <c r="C370">
        <v>4518.9287395567662</v>
      </c>
    </row>
    <row r="371" spans="2:3" x14ac:dyDescent="0.3">
      <c r="B371">
        <v>339</v>
      </c>
      <c r="C371">
        <v>3874.872097491334</v>
      </c>
    </row>
    <row r="372" spans="2:3" x14ac:dyDescent="0.3">
      <c r="B372">
        <v>340</v>
      </c>
      <c r="C372">
        <v>9379.4829013920826</v>
      </c>
    </row>
    <row r="373" spans="2:3" x14ac:dyDescent="0.3">
      <c r="B373">
        <v>341</v>
      </c>
      <c r="C373">
        <v>7713.4903930199016</v>
      </c>
    </row>
    <row r="374" spans="2:3" x14ac:dyDescent="0.3">
      <c r="B374">
        <v>342</v>
      </c>
      <c r="C374">
        <v>7333.4401015429567</v>
      </c>
    </row>
    <row r="375" spans="2:3" x14ac:dyDescent="0.3">
      <c r="B375">
        <v>343</v>
      </c>
      <c r="C375">
        <v>10122.638145668698</v>
      </c>
    </row>
    <row r="376" spans="2:3" x14ac:dyDescent="0.3">
      <c r="B376">
        <v>344</v>
      </c>
      <c r="C376">
        <v>4617.1745781482141</v>
      </c>
    </row>
    <row r="377" spans="2:3" x14ac:dyDescent="0.3">
      <c r="B377">
        <v>345</v>
      </c>
      <c r="C377">
        <v>6352.6198614322157</v>
      </c>
    </row>
    <row r="378" spans="2:3" x14ac:dyDescent="0.3">
      <c r="B378">
        <v>346</v>
      </c>
      <c r="C378">
        <v>5810.9686670768906</v>
      </c>
    </row>
    <row r="379" spans="2:3" x14ac:dyDescent="0.3">
      <c r="B379">
        <v>347</v>
      </c>
      <c r="C379">
        <v>4067.2286292431818</v>
      </c>
    </row>
    <row r="380" spans="2:3" x14ac:dyDescent="0.3">
      <c r="B380">
        <v>348</v>
      </c>
      <c r="C380">
        <v>9897.9545278092428</v>
      </c>
    </row>
    <row r="381" spans="2:3" x14ac:dyDescent="0.3">
      <c r="B381">
        <v>349</v>
      </c>
      <c r="C381">
        <v>9547.5625579881689</v>
      </c>
    </row>
    <row r="382" spans="2:3" x14ac:dyDescent="0.3">
      <c r="B382">
        <v>350</v>
      </c>
      <c r="C382">
        <v>2346.2832247214201</v>
      </c>
    </row>
    <row r="383" spans="2:3" x14ac:dyDescent="0.3">
      <c r="B383">
        <v>351</v>
      </c>
      <c r="C383">
        <v>5250.5014747147779</v>
      </c>
    </row>
    <row r="384" spans="2:3" x14ac:dyDescent="0.3">
      <c r="B384">
        <v>352</v>
      </c>
      <c r="C384">
        <v>7713.9757685483519</v>
      </c>
    </row>
    <row r="385" spans="2:3" x14ac:dyDescent="0.3">
      <c r="B385">
        <v>353</v>
      </c>
      <c r="C385">
        <v>3895.7404658305027</v>
      </c>
    </row>
    <row r="386" spans="2:3" x14ac:dyDescent="0.3">
      <c r="B386">
        <v>354</v>
      </c>
      <c r="C386">
        <v>7735.8823998365506</v>
      </c>
    </row>
    <row r="387" spans="2:3" x14ac:dyDescent="0.3">
      <c r="B387">
        <v>355</v>
      </c>
      <c r="C387">
        <v>3786.7624124569547</v>
      </c>
    </row>
    <row r="388" spans="2:3" x14ac:dyDescent="0.3">
      <c r="B388">
        <v>356</v>
      </c>
      <c r="C388">
        <v>4285.6948441952973</v>
      </c>
    </row>
    <row r="389" spans="2:3" x14ac:dyDescent="0.3">
      <c r="B389">
        <v>357</v>
      </c>
      <c r="C389">
        <v>2052.5744831937518</v>
      </c>
    </row>
    <row r="390" spans="2:3" x14ac:dyDescent="0.3">
      <c r="B390">
        <v>358</v>
      </c>
      <c r="C390">
        <v>7334.0402195031838</v>
      </c>
    </row>
    <row r="391" spans="2:3" x14ac:dyDescent="0.3">
      <c r="B391">
        <v>359</v>
      </c>
      <c r="C391">
        <v>9807.8389036515055</v>
      </c>
    </row>
    <row r="392" spans="2:3" x14ac:dyDescent="0.3">
      <c r="B392">
        <v>360</v>
      </c>
      <c r="C392">
        <v>1299.6818260117584</v>
      </c>
    </row>
    <row r="393" spans="2:3" x14ac:dyDescent="0.3">
      <c r="B393">
        <v>361</v>
      </c>
      <c r="C393">
        <v>8192.2777906439042</v>
      </c>
    </row>
    <row r="394" spans="2:3" x14ac:dyDescent="0.3">
      <c r="B394">
        <v>362</v>
      </c>
      <c r="C394">
        <v>4256.9266633755742</v>
      </c>
    </row>
    <row r="395" spans="2:3" x14ac:dyDescent="0.3">
      <c r="B395">
        <v>363</v>
      </c>
      <c r="C395">
        <v>7155.3941957988382</v>
      </c>
    </row>
    <row r="396" spans="2:3" x14ac:dyDescent="0.3">
      <c r="B396">
        <v>364</v>
      </c>
      <c r="C396">
        <v>8387.7332594125146</v>
      </c>
    </row>
    <row r="397" spans="2:3" x14ac:dyDescent="0.3">
      <c r="B397">
        <v>365</v>
      </c>
      <c r="C397">
        <v>6881.6219831203998</v>
      </c>
    </row>
    <row r="398" spans="2:3" x14ac:dyDescent="0.3">
      <c r="B398">
        <v>366</v>
      </c>
      <c r="C398">
        <v>8004.9830715394364</v>
      </c>
    </row>
    <row r="399" spans="2:3" x14ac:dyDescent="0.3">
      <c r="B399">
        <v>367</v>
      </c>
      <c r="C399">
        <v>6623.3822837673124</v>
      </c>
    </row>
    <row r="400" spans="2:3" x14ac:dyDescent="0.3">
      <c r="B400">
        <v>368</v>
      </c>
      <c r="C400">
        <v>6323.1085060444439</v>
      </c>
    </row>
    <row r="401" spans="2:3" x14ac:dyDescent="0.3">
      <c r="B401">
        <v>369</v>
      </c>
      <c r="C401">
        <v>11453.062336634319</v>
      </c>
    </row>
    <row r="402" spans="2:3" x14ac:dyDescent="0.3">
      <c r="B402">
        <v>370</v>
      </c>
      <c r="C402">
        <v>7497.3919114286637</v>
      </c>
    </row>
    <row r="403" spans="2:3" x14ac:dyDescent="0.3">
      <c r="B403">
        <v>371</v>
      </c>
      <c r="C403">
        <v>7616.8668791919772</v>
      </c>
    </row>
    <row r="404" spans="2:3" x14ac:dyDescent="0.3">
      <c r="B404">
        <v>372</v>
      </c>
      <c r="C404">
        <v>7002.2259246754438</v>
      </c>
    </row>
    <row r="405" spans="2:3" x14ac:dyDescent="0.3">
      <c r="B405">
        <v>373</v>
      </c>
      <c r="C405">
        <v>9040.1779775144223</v>
      </c>
    </row>
    <row r="406" spans="2:3" x14ac:dyDescent="0.3">
      <c r="B406">
        <v>374</v>
      </c>
      <c r="C406">
        <v>9724.2270957555229</v>
      </c>
    </row>
    <row r="407" spans="2:3" x14ac:dyDescent="0.3">
      <c r="B407">
        <v>375</v>
      </c>
      <c r="C407">
        <v>6682.1093123661567</v>
      </c>
    </row>
    <row r="408" spans="2:3" x14ac:dyDescent="0.3">
      <c r="B408">
        <v>376</v>
      </c>
      <c r="C408">
        <v>9841.7870086278235</v>
      </c>
    </row>
    <row r="409" spans="2:3" x14ac:dyDescent="0.3">
      <c r="B409">
        <v>377</v>
      </c>
      <c r="C409">
        <v>7294.1372181838306</v>
      </c>
    </row>
    <row r="410" spans="2:3" x14ac:dyDescent="0.3">
      <c r="B410">
        <v>378</v>
      </c>
      <c r="C410">
        <v>4644.4379566079633</v>
      </c>
    </row>
    <row r="411" spans="2:3" x14ac:dyDescent="0.3">
      <c r="B411">
        <v>379</v>
      </c>
      <c r="C411">
        <v>5263.9297426196454</v>
      </c>
    </row>
    <row r="412" spans="2:3" x14ac:dyDescent="0.3">
      <c r="B412">
        <v>380</v>
      </c>
      <c r="C412">
        <v>9325.5641673858336</v>
      </c>
    </row>
    <row r="413" spans="2:3" x14ac:dyDescent="0.3">
      <c r="B413">
        <v>381</v>
      </c>
      <c r="C413">
        <v>6330.394911866586</v>
      </c>
    </row>
    <row r="414" spans="2:3" x14ac:dyDescent="0.3">
      <c r="B414">
        <v>382</v>
      </c>
      <c r="C414">
        <v>10964.628524741809</v>
      </c>
    </row>
    <row r="415" spans="2:3" x14ac:dyDescent="0.3">
      <c r="B415">
        <v>383</v>
      </c>
      <c r="C415">
        <v>3194.9820178084178</v>
      </c>
    </row>
    <row r="416" spans="2:3" x14ac:dyDescent="0.3">
      <c r="B416">
        <v>384</v>
      </c>
      <c r="C416">
        <v>5146.2644050468307</v>
      </c>
    </row>
    <row r="417" spans="2:3" x14ac:dyDescent="0.3">
      <c r="B417">
        <v>385</v>
      </c>
      <c r="C417">
        <v>7269.7533128079758</v>
      </c>
    </row>
    <row r="418" spans="2:3" x14ac:dyDescent="0.3">
      <c r="B418">
        <v>386</v>
      </c>
      <c r="C418">
        <v>4496.9265115066173</v>
      </c>
    </row>
    <row r="419" spans="2:3" x14ac:dyDescent="0.3">
      <c r="B419">
        <v>387</v>
      </c>
      <c r="C419">
        <v>7739.0643531971537</v>
      </c>
    </row>
    <row r="420" spans="2:3" x14ac:dyDescent="0.3">
      <c r="B420">
        <v>388</v>
      </c>
      <c r="C420">
        <v>8158.6090901657535</v>
      </c>
    </row>
    <row r="421" spans="2:3" x14ac:dyDescent="0.3">
      <c r="B421">
        <v>389</v>
      </c>
      <c r="C421">
        <v>6331.368047523416</v>
      </c>
    </row>
    <row r="422" spans="2:3" x14ac:dyDescent="0.3">
      <c r="B422">
        <v>390</v>
      </c>
      <c r="C422">
        <v>4744.7733702141568</v>
      </c>
    </row>
    <row r="423" spans="2:3" x14ac:dyDescent="0.3">
      <c r="B423">
        <v>391</v>
      </c>
      <c r="C423">
        <v>1839.4863548622036</v>
      </c>
    </row>
    <row r="424" spans="2:3" x14ac:dyDescent="0.3">
      <c r="B424">
        <v>392</v>
      </c>
      <c r="C424">
        <v>4533.3786747168751</v>
      </c>
    </row>
    <row r="425" spans="2:3" x14ac:dyDescent="0.3">
      <c r="B425">
        <v>393</v>
      </c>
      <c r="C425">
        <v>9407.2033476620127</v>
      </c>
    </row>
    <row r="426" spans="2:3" x14ac:dyDescent="0.3">
      <c r="B426">
        <v>394</v>
      </c>
      <c r="C426">
        <v>1924.4909975358951</v>
      </c>
    </row>
    <row r="427" spans="2:3" x14ac:dyDescent="0.3">
      <c r="B427">
        <v>395</v>
      </c>
      <c r="C427">
        <v>4693.1114069353225</v>
      </c>
    </row>
    <row r="428" spans="2:3" x14ac:dyDescent="0.3">
      <c r="B428">
        <v>396</v>
      </c>
      <c r="C428">
        <v>4822.2954409394079</v>
      </c>
    </row>
    <row r="429" spans="2:3" x14ac:dyDescent="0.3">
      <c r="B429">
        <v>397</v>
      </c>
      <c r="C429">
        <v>4902.4392958751123</v>
      </c>
    </row>
    <row r="430" spans="2:3" x14ac:dyDescent="0.3">
      <c r="B430">
        <v>398</v>
      </c>
      <c r="C430">
        <v>7475.7240989275479</v>
      </c>
    </row>
    <row r="431" spans="2:3" x14ac:dyDescent="0.3">
      <c r="B431">
        <v>399</v>
      </c>
      <c r="C431">
        <v>10683.821011126698</v>
      </c>
    </row>
    <row r="432" spans="2:3" x14ac:dyDescent="0.3">
      <c r="B432">
        <v>400</v>
      </c>
      <c r="C432">
        <v>10008.520247232589</v>
      </c>
    </row>
    <row r="433" spans="2:3" x14ac:dyDescent="0.3">
      <c r="B433">
        <v>401</v>
      </c>
      <c r="C433">
        <v>4221.0049314496027</v>
      </c>
    </row>
    <row r="434" spans="2:3" x14ac:dyDescent="0.3">
      <c r="B434">
        <v>402</v>
      </c>
      <c r="C434">
        <v>3556.1346634672109</v>
      </c>
    </row>
    <row r="435" spans="2:3" x14ac:dyDescent="0.3">
      <c r="B435">
        <v>403</v>
      </c>
      <c r="C435">
        <v>4808.4350313991235</v>
      </c>
    </row>
    <row r="436" spans="2:3" x14ac:dyDescent="0.3">
      <c r="B436">
        <v>404</v>
      </c>
      <c r="C436">
        <v>5747.228350122652</v>
      </c>
    </row>
    <row r="437" spans="2:3" x14ac:dyDescent="0.3">
      <c r="B437">
        <v>405</v>
      </c>
      <c r="C437">
        <v>3675.1464467980013</v>
      </c>
    </row>
    <row r="438" spans="2:3" x14ac:dyDescent="0.3">
      <c r="B438">
        <v>406</v>
      </c>
      <c r="C438">
        <v>5530.5022474986454</v>
      </c>
    </row>
    <row r="439" spans="2:3" x14ac:dyDescent="0.3">
      <c r="B439">
        <v>407</v>
      </c>
      <c r="C439">
        <v>8113.8617065391454</v>
      </c>
    </row>
    <row r="440" spans="2:3" x14ac:dyDescent="0.3">
      <c r="B440">
        <v>408</v>
      </c>
      <c r="C440">
        <v>11389.497368338149</v>
      </c>
    </row>
    <row r="441" spans="2:3" x14ac:dyDescent="0.3">
      <c r="B441">
        <v>409</v>
      </c>
      <c r="C441">
        <v>3498.5185341741785</v>
      </c>
    </row>
    <row r="442" spans="2:3" x14ac:dyDescent="0.3">
      <c r="B442">
        <v>410</v>
      </c>
      <c r="C442">
        <v>2693.3278901689678</v>
      </c>
    </row>
    <row r="443" spans="2:3" x14ac:dyDescent="0.3">
      <c r="B443">
        <v>411</v>
      </c>
      <c r="C443">
        <v>9344.3772945217443</v>
      </c>
    </row>
    <row r="444" spans="2:3" x14ac:dyDescent="0.3">
      <c r="B444">
        <v>412</v>
      </c>
      <c r="C444">
        <v>9213.688139879152</v>
      </c>
    </row>
    <row r="445" spans="2:3" x14ac:dyDescent="0.3">
      <c r="B445">
        <v>413</v>
      </c>
      <c r="C445">
        <v>9110.5749715904221</v>
      </c>
    </row>
    <row r="446" spans="2:3" x14ac:dyDescent="0.3">
      <c r="B446">
        <v>414</v>
      </c>
      <c r="C446">
        <v>5600.8898831943343</v>
      </c>
    </row>
    <row r="447" spans="2:3" x14ac:dyDescent="0.3">
      <c r="B447">
        <v>415</v>
      </c>
      <c r="C447">
        <v>9411.8655103821202</v>
      </c>
    </row>
    <row r="448" spans="2:3" x14ac:dyDescent="0.3">
      <c r="B448">
        <v>416</v>
      </c>
      <c r="C448">
        <v>10677.906545693608</v>
      </c>
    </row>
    <row r="449" spans="2:3" x14ac:dyDescent="0.3">
      <c r="B449">
        <v>417</v>
      </c>
      <c r="C449">
        <v>8125.3602639347928</v>
      </c>
    </row>
    <row r="450" spans="2:3" x14ac:dyDescent="0.3">
      <c r="B450">
        <v>418</v>
      </c>
      <c r="C450">
        <v>8488.4867373386442</v>
      </c>
    </row>
    <row r="451" spans="2:3" x14ac:dyDescent="0.3">
      <c r="B451">
        <v>419</v>
      </c>
      <c r="C451">
        <v>6543.2456389294803</v>
      </c>
    </row>
    <row r="452" spans="2:3" x14ac:dyDescent="0.3">
      <c r="B452">
        <v>420</v>
      </c>
      <c r="C452">
        <v>6655.4448363920219</v>
      </c>
    </row>
    <row r="453" spans="2:3" x14ac:dyDescent="0.3">
      <c r="B453">
        <v>421</v>
      </c>
      <c r="C453">
        <v>9168.9438124111057</v>
      </c>
    </row>
    <row r="454" spans="2:3" x14ac:dyDescent="0.3">
      <c r="B454">
        <v>422</v>
      </c>
      <c r="C454">
        <v>8708.7352970845895</v>
      </c>
    </row>
    <row r="455" spans="2:3" x14ac:dyDescent="0.3">
      <c r="B455">
        <v>423</v>
      </c>
      <c r="C455">
        <v>4448.5989154985073</v>
      </c>
    </row>
    <row r="456" spans="2:3" x14ac:dyDescent="0.3">
      <c r="B456">
        <v>424</v>
      </c>
      <c r="C456">
        <v>7465.7019325106112</v>
      </c>
    </row>
    <row r="457" spans="2:3" x14ac:dyDescent="0.3">
      <c r="B457">
        <v>425</v>
      </c>
      <c r="C457">
        <v>6533.2615012398719</v>
      </c>
    </row>
    <row r="458" spans="2:3" x14ac:dyDescent="0.3">
      <c r="B458">
        <v>426</v>
      </c>
      <c r="C458">
        <v>7603.7474937294855</v>
      </c>
    </row>
    <row r="459" spans="2:3" x14ac:dyDescent="0.3">
      <c r="B459">
        <v>427</v>
      </c>
      <c r="C459">
        <v>12369.676955950663</v>
      </c>
    </row>
    <row r="460" spans="2:3" x14ac:dyDescent="0.3">
      <c r="B460">
        <v>428</v>
      </c>
      <c r="C460">
        <v>7539.2555916255169</v>
      </c>
    </row>
    <row r="461" spans="2:3" x14ac:dyDescent="0.3">
      <c r="B461">
        <v>429</v>
      </c>
      <c r="C461">
        <v>3442.0750395349287</v>
      </c>
    </row>
    <row r="462" spans="2:3" x14ac:dyDescent="0.3">
      <c r="B462">
        <v>430</v>
      </c>
      <c r="C462">
        <v>4148.4549786831685</v>
      </c>
    </row>
    <row r="463" spans="2:3" x14ac:dyDescent="0.3">
      <c r="B463">
        <v>431</v>
      </c>
      <c r="C463">
        <v>3923.5406016906436</v>
      </c>
    </row>
    <row r="464" spans="2:3" x14ac:dyDescent="0.3">
      <c r="B464">
        <v>432</v>
      </c>
      <c r="C464">
        <v>7076.5770412492257</v>
      </c>
    </row>
    <row r="465" spans="2:3" x14ac:dyDescent="0.3">
      <c r="B465">
        <v>433</v>
      </c>
      <c r="C465">
        <v>10184.402703161406</v>
      </c>
    </row>
    <row r="466" spans="2:3" x14ac:dyDescent="0.3">
      <c r="B466">
        <v>434</v>
      </c>
      <c r="C466">
        <v>8009.1814252793447</v>
      </c>
    </row>
    <row r="467" spans="2:3" x14ac:dyDescent="0.3">
      <c r="B467">
        <v>435</v>
      </c>
      <c r="C467">
        <v>7533.3270992357038</v>
      </c>
    </row>
    <row r="468" spans="2:3" x14ac:dyDescent="0.3">
      <c r="B468">
        <v>436</v>
      </c>
      <c r="C468">
        <v>6511.783071778762</v>
      </c>
    </row>
    <row r="469" spans="2:3" x14ac:dyDescent="0.3">
      <c r="B469">
        <v>437</v>
      </c>
      <c r="C469">
        <v>4497.4256473860596</v>
      </c>
    </row>
    <row r="470" spans="2:3" x14ac:dyDescent="0.3">
      <c r="B470">
        <v>438</v>
      </c>
      <c r="C470">
        <v>10232.485509967164</v>
      </c>
    </row>
    <row r="471" spans="2:3" x14ac:dyDescent="0.3">
      <c r="B471">
        <v>439</v>
      </c>
      <c r="C471">
        <v>8218.519987854499</v>
      </c>
    </row>
    <row r="472" spans="2:3" x14ac:dyDescent="0.3">
      <c r="B472">
        <v>440</v>
      </c>
      <c r="C472">
        <v>7355.2455657990467</v>
      </c>
    </row>
    <row r="473" spans="2:3" x14ac:dyDescent="0.3">
      <c r="B473">
        <v>441</v>
      </c>
      <c r="C473">
        <v>10163.483467449709</v>
      </c>
    </row>
    <row r="474" spans="2:3" x14ac:dyDescent="0.3">
      <c r="B474">
        <v>442</v>
      </c>
      <c r="C474">
        <v>2542.87059866858</v>
      </c>
    </row>
    <row r="475" spans="2:3" x14ac:dyDescent="0.3">
      <c r="B475">
        <v>443</v>
      </c>
      <c r="C475">
        <v>5221.2463790556903</v>
      </c>
    </row>
    <row r="476" spans="2:3" x14ac:dyDescent="0.3">
      <c r="B476">
        <v>444</v>
      </c>
      <c r="C476">
        <v>5017.8633694577748</v>
      </c>
    </row>
    <row r="477" spans="2:3" x14ac:dyDescent="0.3">
      <c r="B477">
        <v>445</v>
      </c>
      <c r="C477">
        <v>5025.3510799487076</v>
      </c>
    </row>
    <row r="478" spans="2:3" x14ac:dyDescent="0.3">
      <c r="B478">
        <v>446</v>
      </c>
      <c r="C478">
        <v>7994.4148337705192</v>
      </c>
    </row>
    <row r="479" spans="2:3" x14ac:dyDescent="0.3">
      <c r="B479">
        <v>447</v>
      </c>
      <c r="C479">
        <v>7167.4815152201772</v>
      </c>
    </row>
    <row r="480" spans="2:3" x14ac:dyDescent="0.3">
      <c r="B480">
        <v>448</v>
      </c>
      <c r="C480">
        <v>6909.4856534555956</v>
      </c>
    </row>
    <row r="481" spans="2:3" x14ac:dyDescent="0.3">
      <c r="B481">
        <v>449</v>
      </c>
      <c r="C481">
        <v>4012.8794968259735</v>
      </c>
    </row>
    <row r="482" spans="2:3" x14ac:dyDescent="0.3">
      <c r="B482">
        <v>450</v>
      </c>
      <c r="C482">
        <v>10170.091765393796</v>
      </c>
    </row>
    <row r="483" spans="2:3" x14ac:dyDescent="0.3">
      <c r="B483">
        <v>451</v>
      </c>
      <c r="C483">
        <v>8862.1020857714266</v>
      </c>
    </row>
    <row r="484" spans="2:3" x14ac:dyDescent="0.3">
      <c r="B484">
        <v>452</v>
      </c>
      <c r="C484">
        <v>7896.6508000800768</v>
      </c>
    </row>
    <row r="485" spans="2:3" x14ac:dyDescent="0.3">
      <c r="B485">
        <v>453</v>
      </c>
      <c r="C485">
        <v>7395.7852823128387</v>
      </c>
    </row>
    <row r="486" spans="2:3" x14ac:dyDescent="0.3">
      <c r="B486">
        <v>454</v>
      </c>
      <c r="C486">
        <v>8875.674480752954</v>
      </c>
    </row>
    <row r="487" spans="2:3" x14ac:dyDescent="0.3">
      <c r="B487">
        <v>455</v>
      </c>
      <c r="C487">
        <v>7740.4703957250722</v>
      </c>
    </row>
    <row r="488" spans="2:3" x14ac:dyDescent="0.3">
      <c r="B488">
        <v>456</v>
      </c>
      <c r="C488">
        <v>6237.4804591468856</v>
      </c>
    </row>
    <row r="489" spans="2:3" x14ac:dyDescent="0.3">
      <c r="B489">
        <v>457</v>
      </c>
      <c r="C489">
        <v>3840.9066633936977</v>
      </c>
    </row>
    <row r="490" spans="2:3" x14ac:dyDescent="0.3">
      <c r="B490">
        <v>458</v>
      </c>
      <c r="C490">
        <v>4345.8457499090209</v>
      </c>
    </row>
    <row r="491" spans="2:3" x14ac:dyDescent="0.3">
      <c r="B491">
        <v>459</v>
      </c>
      <c r="C491">
        <v>9980.1062831436484</v>
      </c>
    </row>
    <row r="492" spans="2:3" x14ac:dyDescent="0.3">
      <c r="B492">
        <v>460</v>
      </c>
      <c r="C492">
        <v>1883.7024402971031</v>
      </c>
    </row>
    <row r="493" spans="2:3" x14ac:dyDescent="0.3">
      <c r="B493">
        <v>461</v>
      </c>
      <c r="C493">
        <v>8496.4495805822462</v>
      </c>
    </row>
    <row r="494" spans="2:3" x14ac:dyDescent="0.3">
      <c r="B494">
        <v>462</v>
      </c>
      <c r="C494">
        <v>6378.3645620249245</v>
      </c>
    </row>
    <row r="495" spans="2:3" x14ac:dyDescent="0.3">
      <c r="B495">
        <v>463</v>
      </c>
      <c r="C495">
        <v>9486.8787784727865</v>
      </c>
    </row>
    <row r="496" spans="2:3" x14ac:dyDescent="0.3">
      <c r="B496">
        <v>464</v>
      </c>
      <c r="C496">
        <v>6813.6650365966034</v>
      </c>
    </row>
    <row r="497" spans="2:3" x14ac:dyDescent="0.3">
      <c r="B497">
        <v>465</v>
      </c>
      <c r="C497">
        <v>9734.2525856484226</v>
      </c>
    </row>
    <row r="498" spans="2:3" x14ac:dyDescent="0.3">
      <c r="B498">
        <v>466</v>
      </c>
      <c r="C498">
        <v>2533.8651887109113</v>
      </c>
    </row>
    <row r="499" spans="2:3" x14ac:dyDescent="0.3">
      <c r="B499">
        <v>467</v>
      </c>
      <c r="C499">
        <v>6405.0823365611759</v>
      </c>
    </row>
    <row r="500" spans="2:3" x14ac:dyDescent="0.3">
      <c r="B500">
        <v>468</v>
      </c>
      <c r="C500">
        <v>2583.5652989844948</v>
      </c>
    </row>
    <row r="501" spans="2:3" x14ac:dyDescent="0.3">
      <c r="B501">
        <v>469</v>
      </c>
      <c r="C501">
        <v>11325.621884464277</v>
      </c>
    </row>
    <row r="502" spans="2:3" x14ac:dyDescent="0.3">
      <c r="B502">
        <v>470</v>
      </c>
      <c r="C502">
        <v>6941.1614432388897</v>
      </c>
    </row>
    <row r="503" spans="2:3" x14ac:dyDescent="0.3">
      <c r="B503">
        <v>471</v>
      </c>
      <c r="C503">
        <v>10847.959353079194</v>
      </c>
    </row>
    <row r="504" spans="2:3" x14ac:dyDescent="0.3">
      <c r="B504">
        <v>472</v>
      </c>
      <c r="C504">
        <v>3523.7714996421478</v>
      </c>
    </row>
    <row r="505" spans="2:3" x14ac:dyDescent="0.3">
      <c r="B505">
        <v>473</v>
      </c>
      <c r="C505">
        <v>10725.990524050791</v>
      </c>
    </row>
    <row r="506" spans="2:3" x14ac:dyDescent="0.3">
      <c r="B506">
        <v>474</v>
      </c>
      <c r="C506">
        <v>8901.1181699617337</v>
      </c>
    </row>
    <row r="507" spans="2:3" x14ac:dyDescent="0.3">
      <c r="B507">
        <v>475</v>
      </c>
      <c r="C507">
        <v>8922.8773014091857</v>
      </c>
    </row>
    <row r="508" spans="2:3" x14ac:dyDescent="0.3">
      <c r="B508">
        <v>476</v>
      </c>
      <c r="C508">
        <v>4865.406566184387</v>
      </c>
    </row>
    <row r="509" spans="2:3" x14ac:dyDescent="0.3">
      <c r="B509">
        <v>477</v>
      </c>
      <c r="C509">
        <v>3897.0703250675697</v>
      </c>
    </row>
    <row r="510" spans="2:3" x14ac:dyDescent="0.3">
      <c r="B510">
        <v>478</v>
      </c>
      <c r="C510">
        <v>3362.8933594193281</v>
      </c>
    </row>
    <row r="511" spans="2:3" x14ac:dyDescent="0.3">
      <c r="B511">
        <v>479</v>
      </c>
      <c r="C511">
        <v>10834.910318720133</v>
      </c>
    </row>
    <row r="512" spans="2:3" x14ac:dyDescent="0.3">
      <c r="B512">
        <v>480</v>
      </c>
      <c r="C512">
        <v>4396.4031715773253</v>
      </c>
    </row>
    <row r="513" spans="2:3" x14ac:dyDescent="0.3">
      <c r="B513">
        <v>481</v>
      </c>
      <c r="C513">
        <v>3574.7943518301167</v>
      </c>
    </row>
    <row r="514" spans="2:3" x14ac:dyDescent="0.3">
      <c r="B514">
        <v>482</v>
      </c>
      <c r="C514">
        <v>9951.0946915842524</v>
      </c>
    </row>
    <row r="515" spans="2:3" x14ac:dyDescent="0.3">
      <c r="B515">
        <v>483</v>
      </c>
      <c r="C515">
        <v>7171.323315600127</v>
      </c>
    </row>
    <row r="516" spans="2:3" x14ac:dyDescent="0.3">
      <c r="B516">
        <v>484</v>
      </c>
      <c r="C516">
        <v>5127.1297982392634</v>
      </c>
    </row>
    <row r="517" spans="2:3" x14ac:dyDescent="0.3">
      <c r="B517">
        <v>485</v>
      </c>
      <c r="C517">
        <v>11211.982800694597</v>
      </c>
    </row>
    <row r="518" spans="2:3" x14ac:dyDescent="0.3">
      <c r="B518">
        <v>486</v>
      </c>
      <c r="C518">
        <v>3370.2508250456972</v>
      </c>
    </row>
    <row r="519" spans="2:3" x14ac:dyDescent="0.3">
      <c r="B519">
        <v>487</v>
      </c>
      <c r="C519">
        <v>4671.436073517606</v>
      </c>
    </row>
    <row r="520" spans="2:3" x14ac:dyDescent="0.3">
      <c r="B520">
        <v>488</v>
      </c>
      <c r="C520">
        <v>6443.7385371801656</v>
      </c>
    </row>
    <row r="521" spans="2:3" x14ac:dyDescent="0.3">
      <c r="B521">
        <v>489</v>
      </c>
      <c r="C521">
        <v>3072.4068242360458</v>
      </c>
    </row>
    <row r="522" spans="2:3" x14ac:dyDescent="0.3">
      <c r="B522">
        <v>490</v>
      </c>
      <c r="C522">
        <v>9627.4675577300586</v>
      </c>
    </row>
    <row r="523" spans="2:3" x14ac:dyDescent="0.3">
      <c r="B523">
        <v>491</v>
      </c>
      <c r="C523">
        <v>7300.6933550745307</v>
      </c>
    </row>
    <row r="524" spans="2:3" x14ac:dyDescent="0.3">
      <c r="B524">
        <v>492</v>
      </c>
      <c r="C524">
        <v>4315.5417256176006</v>
      </c>
    </row>
    <row r="525" spans="2:3" x14ac:dyDescent="0.3">
      <c r="B525">
        <v>493</v>
      </c>
      <c r="C525">
        <v>6403.6329875714337</v>
      </c>
    </row>
    <row r="526" spans="2:3" x14ac:dyDescent="0.3">
      <c r="B526">
        <v>494</v>
      </c>
      <c r="C526">
        <v>8247.0329163651568</v>
      </c>
    </row>
    <row r="527" spans="2:3" x14ac:dyDescent="0.3">
      <c r="B527">
        <v>495</v>
      </c>
      <c r="C527">
        <v>8070.9649760765251</v>
      </c>
    </row>
    <row r="528" spans="2:3" x14ac:dyDescent="0.3">
      <c r="B528">
        <v>496</v>
      </c>
      <c r="C528">
        <v>4932.6446635956509</v>
      </c>
    </row>
    <row r="529" spans="2:3" x14ac:dyDescent="0.3">
      <c r="B529">
        <v>497</v>
      </c>
      <c r="C529">
        <v>9528.3159389180637</v>
      </c>
    </row>
    <row r="530" spans="2:3" x14ac:dyDescent="0.3">
      <c r="B530">
        <v>498</v>
      </c>
      <c r="C530">
        <v>11106.147977581186</v>
      </c>
    </row>
    <row r="531" spans="2:3" x14ac:dyDescent="0.3">
      <c r="B531">
        <v>499</v>
      </c>
      <c r="C531">
        <v>6658.1453993152627</v>
      </c>
    </row>
    <row r="532" spans="2:3" x14ac:dyDescent="0.3">
      <c r="B532">
        <v>500</v>
      </c>
      <c r="C532">
        <v>11925.008272842766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7.3_Indian_Railway_Network_from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Swapnendu Chakraborty</dc:creator>
  <cp:lastModifiedBy>Swapnendu Chakraborty</cp:lastModifiedBy>
  <dcterms:created xsi:type="dcterms:W3CDTF">2023-10-12T10:16:45Z</dcterms:created>
  <dcterms:modified xsi:type="dcterms:W3CDTF">2023-10-13T21:00:26Z</dcterms:modified>
</cp:coreProperties>
</file>