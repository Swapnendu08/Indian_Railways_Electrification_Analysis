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Tutorial\Indian Railway Electrification\"/>
    </mc:Choice>
  </mc:AlternateContent>
  <xr:revisionPtr revIDLastSave="0" documentId="13_ncr:1_{C5C4101D-2046-43F9-BC5D-19F22950810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7.3_Indian_Railway_Network_from" sheetId="1" r:id="rId1"/>
  </sheets>
  <definedNames>
    <definedName name="_xlchart.v1.0" hidden="1">'7.3_Indian_Railway_Network_from'!$L$33:$L$532</definedName>
    <definedName name="_xlchart.v1.1" hidden="1">'7.3_Indian_Railway_Network_from'!$C$33:$C$532</definedName>
    <definedName name="_xlchart.v1.2" hidden="1">'7.3_Indian_Railway_Network_from'!$L$33:$L$532</definedName>
    <definedName name="_xlchart.v1.3" hidden="1">'7.3_Indian_Railway_Network_from'!$I$33:$I$532</definedName>
    <definedName name="_xlchart.v1.4" hidden="1">'7.3_Indian_Railway_Network_from'!$F$33:$F$532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1" l="1"/>
  <c r="L29" i="1"/>
  <c r="L28" i="1"/>
  <c r="L27" i="1"/>
  <c r="I29" i="1"/>
  <c r="I27" i="1"/>
  <c r="F28" i="1"/>
  <c r="F29" i="1"/>
  <c r="F27" i="1"/>
  <c r="C28" i="1"/>
  <c r="C29" i="1"/>
  <c r="C27" i="1"/>
  <c r="Z32" i="1"/>
  <c r="AA32" i="1" s="1"/>
  <c r="T32" i="1"/>
  <c r="U32" i="1" s="1"/>
  <c r="Z24" i="1"/>
  <c r="AA24" i="1" s="1"/>
  <c r="T24" i="1"/>
  <c r="U24" i="1" s="1"/>
  <c r="Z16" i="1"/>
  <c r="AA16" i="1" s="1"/>
  <c r="T16" i="1"/>
  <c r="U16" i="1" s="1"/>
</calcChain>
</file>

<file path=xl/sharedStrings.xml><?xml version="1.0" encoding="utf-8"?>
<sst xmlns="http://schemas.openxmlformats.org/spreadsheetml/2006/main" count="101" uniqueCount="38">
  <si>
    <t xml:space="preserve">
</t>
  </si>
  <si>
    <t>Year</t>
  </si>
  <si>
    <t>Total Route (Kms.) - Electrified</t>
  </si>
  <si>
    <t>Total Route (Kms.) - Total</t>
  </si>
  <si>
    <t>Percentage Route
(%) Electrified</t>
  </si>
  <si>
    <t>Running Track (Kms.) - Electrified</t>
  </si>
  <si>
    <t>Running Track (Kms.) - Total</t>
  </si>
  <si>
    <t>Percentage Track 
(%) Electrified</t>
  </si>
  <si>
    <t>Total Track* (Kms.) - Electrified</t>
  </si>
  <si>
    <t>Total Track* (Kms.) -</t>
  </si>
  <si>
    <t>1950-51</t>
  </si>
  <si>
    <t>1960-61</t>
  </si>
  <si>
    <t>1970-71</t>
  </si>
  <si>
    <t>1980-81</t>
  </si>
  <si>
    <t>1990-91</t>
  </si>
  <si>
    <t>1991-92</t>
  </si>
  <si>
    <t>MIN</t>
  </si>
  <si>
    <t>MAX</t>
  </si>
  <si>
    <t>AVG</t>
  </si>
  <si>
    <t>1992-93</t>
  </si>
  <si>
    <t>1993-94</t>
  </si>
  <si>
    <t>1994-95</t>
  </si>
  <si>
    <t>Lower Range</t>
  </si>
  <si>
    <t>Higher Range</t>
  </si>
  <si>
    <t>Total Range</t>
  </si>
  <si>
    <t>Cumulate_Prob</t>
  </si>
  <si>
    <t>1995-96</t>
  </si>
  <si>
    <t>1996-97</t>
  </si>
  <si>
    <t xml:space="preserve">MAX </t>
  </si>
  <si>
    <t>AVERAGE</t>
  </si>
  <si>
    <t>PercentageTotal Track*
(%)  Electrified</t>
  </si>
  <si>
    <t>Random_Res</t>
  </si>
  <si>
    <t>Counter</t>
  </si>
  <si>
    <t>Iterations</t>
  </si>
  <si>
    <t>Average</t>
  </si>
  <si>
    <t>Iteration no.</t>
  </si>
  <si>
    <t>Probabilty Above</t>
  </si>
  <si>
    <t>probabilty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</si>
</sst>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43" fontId="0" fillId="0" borderId="0" xfId="1" applyFont="1"/>
    <xf numFmtId="0" fontId="18" fillId="0" borderId="0" xfId="0" applyFont="1" applyAlignment="1">
      <alignment wrapText="1"/>
    </xf>
    <xf numFmtId="0" fontId="16" fillId="0" borderId="0" xfId="0" applyFont="1"/>
    <xf numFmtId="0" fontId="19" fillId="0" borderId="0" xfId="0" applyFont="1" applyAlignment="1">
      <alignment wrapText="1"/>
    </xf>
    <xf numFmtId="0" fontId="19" fillId="0" borderId="0" xfId="0" applyFont="1"/>
    <xf numFmtId="0" fontId="20" fillId="0" borderId="0" xfId="0" applyFont="1"/>
    <xf numFmtId="0" fontId="18" fillId="33" borderId="0" xfId="0" applyFont="1" applyFill="1" applyAlignment="1">
      <alignment wrapText="1"/>
    </xf>
    <xf numFmtId="0" fontId="0" fillId="33" borderId="0" xfId="0" applyFill="1"/>
    <xf numFmtId="0" fontId="18" fillId="34" borderId="0" xfId="0" applyFont="1" applyFill="1" applyAlignment="1">
      <alignment wrapText="1"/>
    </xf>
    <xf numFmtId="0" fontId="0" fillId="34" borderId="0" xfId="0" applyFill="1"/>
    <xf numFmtId="0" fontId="18" fillId="35" borderId="0" xfId="0" applyFont="1" applyFill="1" applyAlignment="1">
      <alignment wrapText="1"/>
    </xf>
    <xf numFmtId="0" fontId="0" fillId="35" borderId="0" xfId="0" applyFill="1"/>
    <xf numFmtId="0" fontId="16" fillId="36" borderId="0" xfId="0" applyFont="1" applyFill="1"/>
    <xf numFmtId="0" fontId="0" fillId="36" borderId="0" xfId="0" applyFill="1"/>
    <xf numFmtId="0" fontId="16" fillId="33" borderId="0" xfId="0" applyFont="1" applyFill="1"/>
    <xf numFmtId="0" fontId="16" fillId="37" borderId="0" xfId="0" applyFont="1" applyFill="1"/>
    <xf numFmtId="0" fontId="0" fillId="37" borderId="0" xfId="0" applyFill="1"/>
    <xf numFmtId="0" fontId="0" fillId="38" borderId="0" xfId="0" applyFill="1"/>
    <xf numFmtId="0" fontId="16" fillId="38" borderId="0" xfId="0" applyFont="1" applyFill="1"/>
    <xf numFmtId="0" fontId="0" fillId="39" borderId="0" xfId="0" applyFill="1"/>
    <xf numFmtId="0" fontId="16" fillId="39" borderId="0" xfId="0" applyFont="1" applyFill="1"/>
    <xf numFmtId="0" fontId="16" fillId="40" borderId="0" xfId="0" applyFont="1" applyFill="1"/>
    <xf numFmtId="0" fontId="0" fillId="40" borderId="0" xfId="0" applyFill="1"/>
    <xf numFmtId="0" fontId="18" fillId="36" borderId="0" xfId="0" applyFont="1" applyFill="1"/>
    <xf numFmtId="0" fontId="18" fillId="33" borderId="0" xfId="0" applyFont="1" applyFill="1"/>
    <xf numFmtId="0" fontId="21" fillId="0" borderId="0" xfId="0" applyFont="1"/>
    <xf numFmtId="0" fontId="21" fillId="38" borderId="0" xfId="0" applyFont="1" applyFill="1"/>
    <xf numFmtId="0" fontId="18" fillId="38" borderId="0" xfId="0" applyFont="1" applyFill="1"/>
    <xf numFmtId="0" fontId="18" fillId="0" borderId="0" xfId="0" applyFont="1"/>
    <xf numFmtId="0" fontId="18" fillId="37" borderId="0" xfId="0" applyFont="1" applyFill="1"/>
    <xf numFmtId="0" fontId="21" fillId="39" borderId="0" xfId="0" applyFont="1" applyFill="1"/>
    <xf numFmtId="0" fontId="18" fillId="39" borderId="0" xfId="0" applyFont="1" applyFill="1"/>
    <xf numFmtId="0" fontId="18" fillId="40" borderId="0" xfId="0" applyFont="1" applyFill="1"/>
    <xf numFmtId="0" fontId="17" fillId="41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/>
              <a:t>Monte-Carlo</a:t>
            </a:r>
            <a:r>
              <a:rPr lang="en-IN" sz="1800" baseline="0"/>
              <a:t> Simulation </a:t>
            </a:r>
          </a:p>
          <a:p>
            <a:pPr>
              <a:defRPr/>
            </a:pPr>
            <a:r>
              <a:rPr lang="en-IN" sz="1800" baseline="0"/>
              <a:t>Total Route(kms) Electrified</a:t>
            </a:r>
            <a:endParaRPr lang="en-IN" sz="1800"/>
          </a:p>
        </c:rich>
      </c:tx>
      <c:layout>
        <c:manualLayout>
          <c:xMode val="edge"/>
          <c:yMode val="edge"/>
          <c:x val="0.20574931887995707"/>
          <c:y val="2.6648061982972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040003477483296"/>
          <c:y val="0.21994715984147956"/>
          <c:w val="0.77270196312211759"/>
          <c:h val="0.5092764989581057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'7.3_Indian_Railway_Network_from'!$B$33:$B$132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'7.3_Indian_Railway_Network_from'!$C$33:$C$132</c:f>
              <c:numCache>
                <c:formatCode>General</c:formatCode>
                <c:ptCount val="100"/>
                <c:pt idx="0">
                  <c:v>5505.5520968134788</c:v>
                </c:pt>
                <c:pt idx="1">
                  <c:v>2236.8241047517336</c:v>
                </c:pt>
                <c:pt idx="2">
                  <c:v>6518.8939648391197</c:v>
                </c:pt>
                <c:pt idx="3">
                  <c:v>5676.804286192345</c:v>
                </c:pt>
                <c:pt idx="4">
                  <c:v>8409.3509471842681</c:v>
                </c:pt>
                <c:pt idx="5">
                  <c:v>7864.951493235837</c:v>
                </c:pt>
                <c:pt idx="6">
                  <c:v>8820.2083907886736</c:v>
                </c:pt>
                <c:pt idx="7">
                  <c:v>5192.783820252962</c:v>
                </c:pt>
                <c:pt idx="8">
                  <c:v>10268.796140951843</c:v>
                </c:pt>
                <c:pt idx="9">
                  <c:v>7010.1954663822826</c:v>
                </c:pt>
                <c:pt idx="10">
                  <c:v>8758.4933037919327</c:v>
                </c:pt>
                <c:pt idx="11">
                  <c:v>7201.394901779945</c:v>
                </c:pt>
                <c:pt idx="12">
                  <c:v>6981.0895938065214</c:v>
                </c:pt>
                <c:pt idx="13">
                  <c:v>5567.0197543428449</c:v>
                </c:pt>
                <c:pt idx="14">
                  <c:v>10121.778120644214</c:v>
                </c:pt>
                <c:pt idx="15">
                  <c:v>5311.1355995027279</c:v>
                </c:pt>
                <c:pt idx="16">
                  <c:v>9428.4487137734377</c:v>
                </c:pt>
                <c:pt idx="17">
                  <c:v>8866.7716748431012</c:v>
                </c:pt>
                <c:pt idx="18">
                  <c:v>8931.2494564049248</c:v>
                </c:pt>
                <c:pt idx="19">
                  <c:v>5720.4687846566439</c:v>
                </c:pt>
                <c:pt idx="20">
                  <c:v>8896.0429803729476</c:v>
                </c:pt>
                <c:pt idx="21">
                  <c:v>11765.858906476025</c:v>
                </c:pt>
                <c:pt idx="22">
                  <c:v>7203.2483705427394</c:v>
                </c:pt>
                <c:pt idx="23">
                  <c:v>2620.0902284949516</c:v>
                </c:pt>
                <c:pt idx="24">
                  <c:v>9843.322624255039</c:v>
                </c:pt>
                <c:pt idx="25">
                  <c:v>4921.1511464346868</c:v>
                </c:pt>
                <c:pt idx="26">
                  <c:v>1940.1312983235136</c:v>
                </c:pt>
                <c:pt idx="27">
                  <c:v>2190.8526145390078</c:v>
                </c:pt>
                <c:pt idx="28">
                  <c:v>9971.6556560705139</c:v>
                </c:pt>
                <c:pt idx="29">
                  <c:v>7700.0620592211553</c:v>
                </c:pt>
                <c:pt idx="30">
                  <c:v>4986.6887045995836</c:v>
                </c:pt>
                <c:pt idx="31">
                  <c:v>5240.147957494426</c:v>
                </c:pt>
                <c:pt idx="32">
                  <c:v>6731.4124234966121</c:v>
                </c:pt>
                <c:pt idx="33">
                  <c:v>8824.811630016753</c:v>
                </c:pt>
                <c:pt idx="34">
                  <c:v>3494.125801379289</c:v>
                </c:pt>
                <c:pt idx="35">
                  <c:v>3858.9332933307201</c:v>
                </c:pt>
                <c:pt idx="36">
                  <c:v>8475.7736274738472</c:v>
                </c:pt>
                <c:pt idx="37">
                  <c:v>6842.1168270343151</c:v>
                </c:pt>
                <c:pt idx="38">
                  <c:v>9157.2451374271059</c:v>
                </c:pt>
                <c:pt idx="39">
                  <c:v>10077.339073787129</c:v>
                </c:pt>
                <c:pt idx="40">
                  <c:v>7939.9879099576947</c:v>
                </c:pt>
                <c:pt idx="41">
                  <c:v>5448.369716636561</c:v>
                </c:pt>
                <c:pt idx="42">
                  <c:v>9066.987050104588</c:v>
                </c:pt>
                <c:pt idx="43">
                  <c:v>12426.657157972506</c:v>
                </c:pt>
                <c:pt idx="44">
                  <c:v>9151.219718942144</c:v>
                </c:pt>
                <c:pt idx="45">
                  <c:v>3245.7637840434509</c:v>
                </c:pt>
                <c:pt idx="46">
                  <c:v>8866.6204482871362</c:v>
                </c:pt>
                <c:pt idx="47">
                  <c:v>9935.47203291595</c:v>
                </c:pt>
                <c:pt idx="48">
                  <c:v>3767.3796758432754</c:v>
                </c:pt>
                <c:pt idx="49">
                  <c:v>7284.11282028609</c:v>
                </c:pt>
                <c:pt idx="50">
                  <c:v>6507.5971245314004</c:v>
                </c:pt>
                <c:pt idx="51">
                  <c:v>8888.6595079391773</c:v>
                </c:pt>
                <c:pt idx="52">
                  <c:v>7888.8967169907874</c:v>
                </c:pt>
                <c:pt idx="53">
                  <c:v>4717.7223972527017</c:v>
                </c:pt>
                <c:pt idx="54">
                  <c:v>6716.8518058320442</c:v>
                </c:pt>
                <c:pt idx="55">
                  <c:v>5928.890018008985</c:v>
                </c:pt>
                <c:pt idx="56">
                  <c:v>9638.2178416434454</c:v>
                </c:pt>
                <c:pt idx="57">
                  <c:v>7020.7098148741989</c:v>
                </c:pt>
                <c:pt idx="58">
                  <c:v>9648.8363114190252</c:v>
                </c:pt>
                <c:pt idx="59">
                  <c:v>6787.3121957775766</c:v>
                </c:pt>
                <c:pt idx="60">
                  <c:v>11246.606351167731</c:v>
                </c:pt>
                <c:pt idx="61">
                  <c:v>4860.5699476210784</c:v>
                </c:pt>
                <c:pt idx="62">
                  <c:v>9452.9333343372709</c:v>
                </c:pt>
                <c:pt idx="63">
                  <c:v>3866.8981347671556</c:v>
                </c:pt>
                <c:pt idx="64">
                  <c:v>7649.4339910461931</c:v>
                </c:pt>
                <c:pt idx="65">
                  <c:v>6576.0348393174181</c:v>
                </c:pt>
                <c:pt idx="66">
                  <c:v>7814.0894209733642</c:v>
                </c:pt>
                <c:pt idx="67">
                  <c:v>9221.3319531723755</c:v>
                </c:pt>
                <c:pt idx="68">
                  <c:v>8560.5106453689696</c:v>
                </c:pt>
                <c:pt idx="69">
                  <c:v>9836.4594139761411</c:v>
                </c:pt>
                <c:pt idx="70">
                  <c:v>10547.108680488964</c:v>
                </c:pt>
                <c:pt idx="71">
                  <c:v>7795.0612238435588</c:v>
                </c:pt>
                <c:pt idx="72">
                  <c:v>5691.3227855337182</c:v>
                </c:pt>
                <c:pt idx="73">
                  <c:v>12063.984194892151</c:v>
                </c:pt>
                <c:pt idx="74">
                  <c:v>2666.8174451768637</c:v>
                </c:pt>
                <c:pt idx="75">
                  <c:v>5478.4261713829819</c:v>
                </c:pt>
                <c:pt idx="76">
                  <c:v>10165.540589954478</c:v>
                </c:pt>
                <c:pt idx="77">
                  <c:v>7409.8180840086716</c:v>
                </c:pt>
                <c:pt idx="78">
                  <c:v>739.88719315546723</c:v>
                </c:pt>
                <c:pt idx="79">
                  <c:v>9187.7652558776517</c:v>
                </c:pt>
                <c:pt idx="80">
                  <c:v>10915.371484782805</c:v>
                </c:pt>
                <c:pt idx="81">
                  <c:v>6507.0029375872073</c:v>
                </c:pt>
                <c:pt idx="82">
                  <c:v>10903.541197065981</c:v>
                </c:pt>
                <c:pt idx="83">
                  <c:v>7504.7790183402713</c:v>
                </c:pt>
                <c:pt idx="84">
                  <c:v>11341.31579410304</c:v>
                </c:pt>
                <c:pt idx="85">
                  <c:v>8119.4886869845186</c:v>
                </c:pt>
                <c:pt idx="86">
                  <c:v>10958.778061870737</c:v>
                </c:pt>
                <c:pt idx="87">
                  <c:v>8227.3278706825768</c:v>
                </c:pt>
                <c:pt idx="88">
                  <c:v>6869.8373618653459</c:v>
                </c:pt>
                <c:pt idx="89">
                  <c:v>12605.90356577362</c:v>
                </c:pt>
                <c:pt idx="90">
                  <c:v>5831.6302811222167</c:v>
                </c:pt>
                <c:pt idx="91">
                  <c:v>5454.5559929131277</c:v>
                </c:pt>
                <c:pt idx="92">
                  <c:v>6744.0794923902276</c:v>
                </c:pt>
                <c:pt idx="93">
                  <c:v>4995.0216818583058</c:v>
                </c:pt>
                <c:pt idx="94">
                  <c:v>1812.1875689406484</c:v>
                </c:pt>
                <c:pt idx="95">
                  <c:v>8644.6531651304285</c:v>
                </c:pt>
                <c:pt idx="96">
                  <c:v>6818.6137923248671</c:v>
                </c:pt>
                <c:pt idx="97">
                  <c:v>2842.1676545691198</c:v>
                </c:pt>
                <c:pt idx="98">
                  <c:v>9865.7192271473486</c:v>
                </c:pt>
                <c:pt idx="99">
                  <c:v>11608.381750575625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B7-4FB4-B054-400E52EF7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951"/>
        <c:axId val="74626687"/>
      </c:scatterChart>
      <c:valAx>
        <c:axId val="755579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/>
                  <a:t>Iteration</a:t>
                </a:r>
                <a:r>
                  <a:rPr lang="en-IN" sz="2000" baseline="0"/>
                  <a:t> Number</a:t>
                </a:r>
                <a:endParaRPr lang="en-IN" sz="2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687"/>
        <c:crosses val="autoZero"/>
        <c:crossBetween val="midCat"/>
      </c:valAx>
      <c:valAx>
        <c:axId val="7462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/>
                  <a:t>Random_Result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Monte</a:t>
            </a:r>
            <a:r>
              <a:rPr lang="en-IN" baseline="0"/>
              <a:t> Carlo_Simulation</a:t>
            </a:r>
          </a:p>
          <a:p>
            <a:pPr>
              <a:defRPr/>
            </a:pPr>
            <a:r>
              <a:rPr lang="en-IN" baseline="0"/>
              <a:t>Total Route(kms)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'7.3_Indian_Railway_Network_from'!$E$33:$E$132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8-484C-AE6D-2DFBADAC7A26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'7.3_Indian_Railway_Network_from'!$F$33:$F$132</c:f>
              <c:numCache>
                <c:formatCode>General</c:formatCode>
                <c:ptCount val="100"/>
                <c:pt idx="0">
                  <c:v>69285.121350976231</c:v>
                </c:pt>
                <c:pt idx="1">
                  <c:v>65206.045057876676</c:v>
                </c:pt>
                <c:pt idx="2">
                  <c:v>68200.648850178448</c:v>
                </c:pt>
                <c:pt idx="3">
                  <c:v>77289.470196277456</c:v>
                </c:pt>
                <c:pt idx="4">
                  <c:v>64691.454046091792</c:v>
                </c:pt>
                <c:pt idx="5">
                  <c:v>79309.131251860133</c:v>
                </c:pt>
                <c:pt idx="6">
                  <c:v>75004.958516625644</c:v>
                </c:pt>
                <c:pt idx="7">
                  <c:v>73001.887952023215</c:v>
                </c:pt>
                <c:pt idx="8">
                  <c:v>73665.344525082764</c:v>
                </c:pt>
                <c:pt idx="9">
                  <c:v>71686.159781544571</c:v>
                </c:pt>
                <c:pt idx="10">
                  <c:v>65271.731522256014</c:v>
                </c:pt>
                <c:pt idx="11">
                  <c:v>75530.671634617218</c:v>
                </c:pt>
                <c:pt idx="12">
                  <c:v>62309.620392084835</c:v>
                </c:pt>
                <c:pt idx="13">
                  <c:v>62310.917768935426</c:v>
                </c:pt>
                <c:pt idx="14">
                  <c:v>76527.016419066116</c:v>
                </c:pt>
                <c:pt idx="15">
                  <c:v>64025.630715881445</c:v>
                </c:pt>
                <c:pt idx="16">
                  <c:v>74568.537616536079</c:v>
                </c:pt>
                <c:pt idx="17">
                  <c:v>73849.026306067273</c:v>
                </c:pt>
                <c:pt idx="18">
                  <c:v>69103.909314064484</c:v>
                </c:pt>
                <c:pt idx="19">
                  <c:v>75521.452556116565</c:v>
                </c:pt>
                <c:pt idx="20">
                  <c:v>64141.85139765741</c:v>
                </c:pt>
                <c:pt idx="21">
                  <c:v>74011.193231067111</c:v>
                </c:pt>
                <c:pt idx="22">
                  <c:v>77428.840997227293</c:v>
                </c:pt>
                <c:pt idx="23">
                  <c:v>75879.038899054824</c:v>
                </c:pt>
                <c:pt idx="24">
                  <c:v>76694.614935473161</c:v>
                </c:pt>
                <c:pt idx="25">
                  <c:v>71043.657851615906</c:v>
                </c:pt>
                <c:pt idx="26">
                  <c:v>75543.265545382877</c:v>
                </c:pt>
                <c:pt idx="27">
                  <c:v>77904.297751457751</c:v>
                </c:pt>
                <c:pt idx="28">
                  <c:v>79291.448418555941</c:v>
                </c:pt>
                <c:pt idx="29">
                  <c:v>62945.369281468906</c:v>
                </c:pt>
                <c:pt idx="30">
                  <c:v>77527.945429923042</c:v>
                </c:pt>
                <c:pt idx="31">
                  <c:v>71509.401541275554</c:v>
                </c:pt>
                <c:pt idx="32">
                  <c:v>72238.358445097503</c:v>
                </c:pt>
                <c:pt idx="33">
                  <c:v>71681.901601981168</c:v>
                </c:pt>
                <c:pt idx="34">
                  <c:v>74105.349593014005</c:v>
                </c:pt>
                <c:pt idx="35">
                  <c:v>66964.863520899889</c:v>
                </c:pt>
                <c:pt idx="36">
                  <c:v>74218.576260866801</c:v>
                </c:pt>
                <c:pt idx="37">
                  <c:v>78789.573805643857</c:v>
                </c:pt>
                <c:pt idx="38">
                  <c:v>64331.709812378016</c:v>
                </c:pt>
                <c:pt idx="39">
                  <c:v>69759.076657047321</c:v>
                </c:pt>
                <c:pt idx="40">
                  <c:v>69472.10599034006</c:v>
                </c:pt>
                <c:pt idx="41">
                  <c:v>60144.630823957123</c:v>
                </c:pt>
                <c:pt idx="42">
                  <c:v>73843.368118103623</c:v>
                </c:pt>
                <c:pt idx="43">
                  <c:v>71892.945143955192</c:v>
                </c:pt>
                <c:pt idx="44">
                  <c:v>62953.752628527931</c:v>
                </c:pt>
                <c:pt idx="45">
                  <c:v>67383.79660366704</c:v>
                </c:pt>
                <c:pt idx="46">
                  <c:v>67885.743195605042</c:v>
                </c:pt>
                <c:pt idx="47">
                  <c:v>72541.517294130084</c:v>
                </c:pt>
                <c:pt idx="48">
                  <c:v>70762.0655485389</c:v>
                </c:pt>
                <c:pt idx="49">
                  <c:v>70878.400526997371</c:v>
                </c:pt>
                <c:pt idx="50">
                  <c:v>74519.679652282095</c:v>
                </c:pt>
                <c:pt idx="51">
                  <c:v>64518.592201408617</c:v>
                </c:pt>
                <c:pt idx="52">
                  <c:v>60247.452844572108</c:v>
                </c:pt>
                <c:pt idx="53">
                  <c:v>70878.14275981528</c:v>
                </c:pt>
                <c:pt idx="54">
                  <c:v>66448.140789177007</c:v>
                </c:pt>
                <c:pt idx="55">
                  <c:v>76522.211060942267</c:v>
                </c:pt>
                <c:pt idx="56">
                  <c:v>74608.14561928084</c:v>
                </c:pt>
                <c:pt idx="57">
                  <c:v>76149.048834222645</c:v>
                </c:pt>
                <c:pt idx="58">
                  <c:v>75724.697682935643</c:v>
                </c:pt>
                <c:pt idx="59">
                  <c:v>70120.331985263576</c:v>
                </c:pt>
                <c:pt idx="60">
                  <c:v>74179.225804696573</c:v>
                </c:pt>
                <c:pt idx="61">
                  <c:v>70890.979542278365</c:v>
                </c:pt>
                <c:pt idx="62">
                  <c:v>65136.554591937114</c:v>
                </c:pt>
                <c:pt idx="63">
                  <c:v>68405.342222394072</c:v>
                </c:pt>
                <c:pt idx="64">
                  <c:v>77068.506352739802</c:v>
                </c:pt>
                <c:pt idx="65">
                  <c:v>64320.646064309651</c:v>
                </c:pt>
                <c:pt idx="66">
                  <c:v>75451.308104130017</c:v>
                </c:pt>
                <c:pt idx="67">
                  <c:v>73451.348398483737</c:v>
                </c:pt>
                <c:pt idx="68">
                  <c:v>76499.13720884567</c:v>
                </c:pt>
                <c:pt idx="69">
                  <c:v>77012.176991964385</c:v>
                </c:pt>
                <c:pt idx="70">
                  <c:v>75868.581223850735</c:v>
                </c:pt>
                <c:pt idx="71">
                  <c:v>72343.709321387403</c:v>
                </c:pt>
                <c:pt idx="72">
                  <c:v>76115.246001541993</c:v>
                </c:pt>
                <c:pt idx="73">
                  <c:v>72125.996072566821</c:v>
                </c:pt>
                <c:pt idx="74">
                  <c:v>64902.200434545281</c:v>
                </c:pt>
                <c:pt idx="75">
                  <c:v>74277.995857631962</c:v>
                </c:pt>
                <c:pt idx="76">
                  <c:v>77608.071603809294</c:v>
                </c:pt>
                <c:pt idx="77">
                  <c:v>68819.127794312022</c:v>
                </c:pt>
                <c:pt idx="78">
                  <c:v>64832.020521993567</c:v>
                </c:pt>
                <c:pt idx="79">
                  <c:v>71360.792884273134</c:v>
                </c:pt>
                <c:pt idx="80">
                  <c:v>67217.343318460087</c:v>
                </c:pt>
                <c:pt idx="81">
                  <c:v>67708.246062571779</c:v>
                </c:pt>
                <c:pt idx="82">
                  <c:v>72894.191468871606</c:v>
                </c:pt>
                <c:pt idx="83">
                  <c:v>75157.620138034428</c:v>
                </c:pt>
                <c:pt idx="84">
                  <c:v>76806.212835052371</c:v>
                </c:pt>
                <c:pt idx="85">
                  <c:v>76670.836366157586</c:v>
                </c:pt>
                <c:pt idx="86">
                  <c:v>74647.101520513068</c:v>
                </c:pt>
                <c:pt idx="87">
                  <c:v>72859.551809690282</c:v>
                </c:pt>
                <c:pt idx="88">
                  <c:v>74138.423470812297</c:v>
                </c:pt>
                <c:pt idx="89">
                  <c:v>70195.928429389925</c:v>
                </c:pt>
                <c:pt idx="90">
                  <c:v>72178.039490331881</c:v>
                </c:pt>
                <c:pt idx="91">
                  <c:v>72402.189023070299</c:v>
                </c:pt>
                <c:pt idx="92">
                  <c:v>76179.151234493605</c:v>
                </c:pt>
                <c:pt idx="93">
                  <c:v>75982.912009607564</c:v>
                </c:pt>
                <c:pt idx="94">
                  <c:v>63816.523907825365</c:v>
                </c:pt>
                <c:pt idx="95">
                  <c:v>65232.664920275281</c:v>
                </c:pt>
                <c:pt idx="96">
                  <c:v>72627.756201523691</c:v>
                </c:pt>
                <c:pt idx="97">
                  <c:v>65825.144481939686</c:v>
                </c:pt>
                <c:pt idx="98">
                  <c:v>70418.484733665231</c:v>
                </c:pt>
                <c:pt idx="99">
                  <c:v>69715.227757055341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8-484C-AE6D-2DFBADA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219152"/>
        <c:axId val="504935648"/>
      </c:lineChart>
      <c:catAx>
        <c:axId val="3082191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400"/>
                  <a:t>Iteration</a:t>
                </a:r>
                <a:r>
                  <a:rPr lang="en-IN" sz="2400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648"/>
        <c:crosses val="autoZero"/>
        <c:auto val="1"/>
        <c:lblAlgn val="ctr"/>
        <c:lblOffset val="100"/>
        <c:noMultiLvlLbl val="0"/>
      </c:catAx>
      <c:valAx>
        <c:axId val="504935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400"/>
                  <a:t>Random_Res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1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Monte Carlo Simulation</a:t>
            </a:r>
          </a:p>
          <a:p>
            <a:pPr>
              <a:defRPr/>
            </a:pPr>
            <a:r>
              <a:rPr lang="en-IN"/>
              <a:t>Running Track(kms) Electrified</a:t>
            </a:r>
          </a:p>
        </c:rich>
      </c:tx>
      <c:layout>
        <c:manualLayout>
          <c:xMode val="edge"/>
          <c:yMode val="edge"/>
          <c:x val="0.1706318897637795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'7.3_Indian_Railway_Network_from'!$H$33:$H$132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A-4EA9-924A-A16096D71E2E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'7.3_Indian_Railway_Network_from'!$I$33:$I$132</c:f>
              <c:numCache>
                <c:formatCode>General</c:formatCode>
                <c:ptCount val="100"/>
                <c:pt idx="0">
                  <c:v>6191.7413104247335</c:v>
                </c:pt>
                <c:pt idx="1">
                  <c:v>8402.7078813910339</c:v>
                </c:pt>
                <c:pt idx="2">
                  <c:v>15780.456519029127</c:v>
                </c:pt>
                <c:pt idx="3">
                  <c:v>12232.149854493473</c:v>
                </c:pt>
                <c:pt idx="4">
                  <c:v>12389.128051796431</c:v>
                </c:pt>
                <c:pt idx="5">
                  <c:v>11495.575471529119</c:v>
                </c:pt>
                <c:pt idx="6">
                  <c:v>9183.9795928589392</c:v>
                </c:pt>
                <c:pt idx="7">
                  <c:v>10434.377507914405</c:v>
                </c:pt>
                <c:pt idx="8">
                  <c:v>9293.0185573274994</c:v>
                </c:pt>
                <c:pt idx="9">
                  <c:v>4919.0850694942237</c:v>
                </c:pt>
                <c:pt idx="10">
                  <c:v>21019.971171405177</c:v>
                </c:pt>
                <c:pt idx="11">
                  <c:v>20313.16619312796</c:v>
                </c:pt>
                <c:pt idx="12">
                  <c:v>13848.221619781307</c:v>
                </c:pt>
                <c:pt idx="13">
                  <c:v>11022.245706467829</c:v>
                </c:pt>
                <c:pt idx="14">
                  <c:v>10902.446784297255</c:v>
                </c:pt>
                <c:pt idx="15">
                  <c:v>13017.325144725326</c:v>
                </c:pt>
                <c:pt idx="16">
                  <c:v>22145.106759476563</c:v>
                </c:pt>
                <c:pt idx="17">
                  <c:v>18320.935860517653</c:v>
                </c:pt>
                <c:pt idx="18">
                  <c:v>12777.991714142476</c:v>
                </c:pt>
                <c:pt idx="19">
                  <c:v>6418.9342298979036</c:v>
                </c:pt>
                <c:pt idx="20">
                  <c:v>15057.515771186552</c:v>
                </c:pt>
                <c:pt idx="21">
                  <c:v>9050.3357808688161</c:v>
                </c:pt>
                <c:pt idx="22">
                  <c:v>13003.000655737693</c:v>
                </c:pt>
                <c:pt idx="23">
                  <c:v>16765.32231170719</c:v>
                </c:pt>
                <c:pt idx="24">
                  <c:v>3495.559342170423</c:v>
                </c:pt>
                <c:pt idx="25">
                  <c:v>10964.99122781195</c:v>
                </c:pt>
                <c:pt idx="26">
                  <c:v>21617.72893995816</c:v>
                </c:pt>
                <c:pt idx="27">
                  <c:v>13274.201504102777</c:v>
                </c:pt>
                <c:pt idx="28">
                  <c:v>22028.602708894294</c:v>
                </c:pt>
                <c:pt idx="29">
                  <c:v>8128.2046604555735</c:v>
                </c:pt>
                <c:pt idx="30">
                  <c:v>17188.847666359219</c:v>
                </c:pt>
                <c:pt idx="31">
                  <c:v>15075.906106609402</c:v>
                </c:pt>
                <c:pt idx="32">
                  <c:v>19213.880730009369</c:v>
                </c:pt>
                <c:pt idx="33">
                  <c:v>16602.433198160663</c:v>
                </c:pt>
                <c:pt idx="34">
                  <c:v>18190.464595618876</c:v>
                </c:pt>
                <c:pt idx="35">
                  <c:v>5319.7411005337035</c:v>
                </c:pt>
                <c:pt idx="36">
                  <c:v>13314.751514956786</c:v>
                </c:pt>
                <c:pt idx="37">
                  <c:v>8684.7796290960359</c:v>
                </c:pt>
                <c:pt idx="38">
                  <c:v>16523.755385207183</c:v>
                </c:pt>
                <c:pt idx="39">
                  <c:v>17554.272633683508</c:v>
                </c:pt>
                <c:pt idx="40">
                  <c:v>11883.043147142498</c:v>
                </c:pt>
                <c:pt idx="41">
                  <c:v>13898.557521309489</c:v>
                </c:pt>
                <c:pt idx="42">
                  <c:v>9830.8140533489895</c:v>
                </c:pt>
                <c:pt idx="43">
                  <c:v>16484.436864901443</c:v>
                </c:pt>
                <c:pt idx="44">
                  <c:v>4033.8731778847205</c:v>
                </c:pt>
                <c:pt idx="45">
                  <c:v>14294.352149177843</c:v>
                </c:pt>
                <c:pt idx="46">
                  <c:v>15705.575762982282</c:v>
                </c:pt>
                <c:pt idx="47">
                  <c:v>15381.101349112876</c:v>
                </c:pt>
                <c:pt idx="48">
                  <c:v>19261.467198283335</c:v>
                </c:pt>
                <c:pt idx="49">
                  <c:v>15477.396161895496</c:v>
                </c:pt>
                <c:pt idx="50">
                  <c:v>15978.719021669003</c:v>
                </c:pt>
                <c:pt idx="51">
                  <c:v>4958.9383108437669</c:v>
                </c:pt>
                <c:pt idx="52">
                  <c:v>13766.860248892388</c:v>
                </c:pt>
                <c:pt idx="53">
                  <c:v>17480.97941812994</c:v>
                </c:pt>
                <c:pt idx="54">
                  <c:v>14923.110089553136</c:v>
                </c:pt>
                <c:pt idx="55">
                  <c:v>13152.272542101786</c:v>
                </c:pt>
                <c:pt idx="56">
                  <c:v>22542.502431260818</c:v>
                </c:pt>
                <c:pt idx="57">
                  <c:v>6316.9346597638951</c:v>
                </c:pt>
                <c:pt idx="58">
                  <c:v>11126.646299843804</c:v>
                </c:pt>
                <c:pt idx="59">
                  <c:v>11803.22162395655</c:v>
                </c:pt>
                <c:pt idx="60">
                  <c:v>11262.647925841917</c:v>
                </c:pt>
                <c:pt idx="61">
                  <c:v>18364.772697741701</c:v>
                </c:pt>
                <c:pt idx="62">
                  <c:v>16226.336608884081</c:v>
                </c:pt>
                <c:pt idx="63">
                  <c:v>12521.419737210268</c:v>
                </c:pt>
                <c:pt idx="64">
                  <c:v>10653.406639069286</c:v>
                </c:pt>
                <c:pt idx="65">
                  <c:v>8071.5598328058459</c:v>
                </c:pt>
                <c:pt idx="66">
                  <c:v>13097.446538327469</c:v>
                </c:pt>
                <c:pt idx="67">
                  <c:v>16062.652546485439</c:v>
                </c:pt>
                <c:pt idx="68">
                  <c:v>16263.282853304576</c:v>
                </c:pt>
                <c:pt idx="69">
                  <c:v>11078.219216806874</c:v>
                </c:pt>
                <c:pt idx="70">
                  <c:v>3710.9841838202951</c:v>
                </c:pt>
                <c:pt idx="71">
                  <c:v>16058.455054091541</c:v>
                </c:pt>
                <c:pt idx="72">
                  <c:v>12299.636842310474</c:v>
                </c:pt>
                <c:pt idx="73">
                  <c:v>12083.818486504262</c:v>
                </c:pt>
                <c:pt idx="74">
                  <c:v>8754.7732483961445</c:v>
                </c:pt>
                <c:pt idx="75">
                  <c:v>15706.642644612319</c:v>
                </c:pt>
                <c:pt idx="76">
                  <c:v>19327.62247388918</c:v>
                </c:pt>
                <c:pt idx="77">
                  <c:v>13374.120060762465</c:v>
                </c:pt>
                <c:pt idx="78">
                  <c:v>16312.641342990366</c:v>
                </c:pt>
                <c:pt idx="79">
                  <c:v>11400.438155171709</c:v>
                </c:pt>
                <c:pt idx="80">
                  <c:v>20862.271109916299</c:v>
                </c:pt>
                <c:pt idx="81">
                  <c:v>11186.747064201427</c:v>
                </c:pt>
                <c:pt idx="82">
                  <c:v>11973.399670927398</c:v>
                </c:pt>
                <c:pt idx="83">
                  <c:v>19195.387681204513</c:v>
                </c:pt>
                <c:pt idx="84">
                  <c:v>13429.136546032631</c:v>
                </c:pt>
                <c:pt idx="85">
                  <c:v>5306.6505044909254</c:v>
                </c:pt>
                <c:pt idx="86">
                  <c:v>15446.573379225783</c:v>
                </c:pt>
                <c:pt idx="87">
                  <c:v>11444.954587242004</c:v>
                </c:pt>
                <c:pt idx="88">
                  <c:v>18070.551696383736</c:v>
                </c:pt>
                <c:pt idx="89">
                  <c:v>18303.762397976763</c:v>
                </c:pt>
                <c:pt idx="90">
                  <c:v>12202.321156943126</c:v>
                </c:pt>
                <c:pt idx="91">
                  <c:v>11153.309805857576</c:v>
                </c:pt>
                <c:pt idx="92">
                  <c:v>4349.2316073837683</c:v>
                </c:pt>
                <c:pt idx="93">
                  <c:v>10134.832153281539</c:v>
                </c:pt>
                <c:pt idx="94">
                  <c:v>7264.192118907622</c:v>
                </c:pt>
                <c:pt idx="95">
                  <c:v>11696.600963582921</c:v>
                </c:pt>
                <c:pt idx="96">
                  <c:v>3404.5923927873068</c:v>
                </c:pt>
                <c:pt idx="97">
                  <c:v>14888.792975841385</c:v>
                </c:pt>
                <c:pt idx="98">
                  <c:v>14130.017550220356</c:v>
                </c:pt>
                <c:pt idx="99">
                  <c:v>13413.449696862124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A-4EA9-924A-A16096D7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350752"/>
        <c:axId val="624185744"/>
      </c:lineChart>
      <c:catAx>
        <c:axId val="59135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Iteration_No.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185744"/>
        <c:crosses val="autoZero"/>
        <c:auto val="1"/>
        <c:lblAlgn val="ctr"/>
        <c:lblOffset val="100"/>
        <c:noMultiLvlLbl val="0"/>
      </c:catAx>
      <c:valAx>
        <c:axId val="62418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Random_Res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Monte</a:t>
            </a:r>
            <a:r>
              <a:rPr lang="en-IN" baseline="0"/>
              <a:t> Carlo Simulation</a:t>
            </a:r>
          </a:p>
          <a:p>
            <a:pPr>
              <a:defRPr/>
            </a:pPr>
            <a:r>
              <a:rPr lang="en-IN" baseline="0"/>
              <a:t>Total_Track_Electrified(kms)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09492563429573"/>
          <c:y val="0.2573611111111111"/>
          <c:w val="0.80934951881014872"/>
          <c:h val="0.44544728783902021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'7.3_Indian_Railway_Network_from'!$K$33:$K$132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0-48E0-97A7-4947E4226BA1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'7.3_Indian_Railway_Network_from'!$L$33:$L$132</c:f>
              <c:numCache>
                <c:formatCode>General</c:formatCode>
                <c:ptCount val="100"/>
                <c:pt idx="0">
                  <c:v>27060.953738434593</c:v>
                </c:pt>
                <c:pt idx="1">
                  <c:v>26425.9283126214</c:v>
                </c:pt>
                <c:pt idx="2">
                  <c:v>19908.775780252199</c:v>
                </c:pt>
                <c:pt idx="3">
                  <c:v>18849.682217992671</c:v>
                </c:pt>
                <c:pt idx="4">
                  <c:v>14465.443068593298</c:v>
                </c:pt>
                <c:pt idx="5">
                  <c:v>7659.8615429251167</c:v>
                </c:pt>
                <c:pt idx="6">
                  <c:v>24282.514294282868</c:v>
                </c:pt>
                <c:pt idx="7">
                  <c:v>14622.987206775808</c:v>
                </c:pt>
                <c:pt idx="8">
                  <c:v>9630.592701622938</c:v>
                </c:pt>
                <c:pt idx="9">
                  <c:v>28550.33230169287</c:v>
                </c:pt>
                <c:pt idx="10">
                  <c:v>20338.62087520121</c:v>
                </c:pt>
                <c:pt idx="11">
                  <c:v>9535.2480801766469</c:v>
                </c:pt>
                <c:pt idx="12">
                  <c:v>26396.187466088853</c:v>
                </c:pt>
                <c:pt idx="13">
                  <c:v>27030.232687707052</c:v>
                </c:pt>
                <c:pt idx="14">
                  <c:v>7477.2290927273807</c:v>
                </c:pt>
                <c:pt idx="15">
                  <c:v>12385.019437893978</c:v>
                </c:pt>
                <c:pt idx="16">
                  <c:v>13353.469941877807</c:v>
                </c:pt>
                <c:pt idx="17">
                  <c:v>21833.905800127795</c:v>
                </c:pt>
                <c:pt idx="18">
                  <c:v>11692.59498422093</c:v>
                </c:pt>
                <c:pt idx="19">
                  <c:v>28408.364532983072</c:v>
                </c:pt>
                <c:pt idx="20">
                  <c:v>19072.665533745807</c:v>
                </c:pt>
                <c:pt idx="21">
                  <c:v>18277.929337087589</c:v>
                </c:pt>
                <c:pt idx="22">
                  <c:v>5111.4599045804543</c:v>
                </c:pt>
                <c:pt idx="23">
                  <c:v>9878.1312069254309</c:v>
                </c:pt>
                <c:pt idx="24">
                  <c:v>14769.794756080602</c:v>
                </c:pt>
                <c:pt idx="25">
                  <c:v>19823.175065384115</c:v>
                </c:pt>
                <c:pt idx="26">
                  <c:v>16698.401454183761</c:v>
                </c:pt>
                <c:pt idx="27">
                  <c:v>8957.0933440773697</c:v>
                </c:pt>
                <c:pt idx="28">
                  <c:v>22932.061184642283</c:v>
                </c:pt>
                <c:pt idx="29">
                  <c:v>21553.937752776132</c:v>
                </c:pt>
                <c:pt idx="30">
                  <c:v>12002.964627249883</c:v>
                </c:pt>
                <c:pt idx="31">
                  <c:v>8877.8279852193409</c:v>
                </c:pt>
                <c:pt idx="32">
                  <c:v>22086.844419068584</c:v>
                </c:pt>
                <c:pt idx="33">
                  <c:v>5741.1023970114902</c:v>
                </c:pt>
                <c:pt idx="34">
                  <c:v>28752.467766861082</c:v>
                </c:pt>
                <c:pt idx="35">
                  <c:v>16030.22647909777</c:v>
                </c:pt>
                <c:pt idx="36">
                  <c:v>17925.029209717854</c:v>
                </c:pt>
                <c:pt idx="37">
                  <c:v>16273.898590501036</c:v>
                </c:pt>
                <c:pt idx="38">
                  <c:v>18619.084124436398</c:v>
                </c:pt>
                <c:pt idx="39">
                  <c:v>26316.215868659252</c:v>
                </c:pt>
                <c:pt idx="40">
                  <c:v>14463.373549527818</c:v>
                </c:pt>
                <c:pt idx="41">
                  <c:v>15751.970407027566</c:v>
                </c:pt>
                <c:pt idx="42">
                  <c:v>3319.1787272872994</c:v>
                </c:pt>
                <c:pt idx="43">
                  <c:v>26337.008025969328</c:v>
                </c:pt>
                <c:pt idx="44">
                  <c:v>16480.269916532332</c:v>
                </c:pt>
                <c:pt idx="45">
                  <c:v>23670.717379361718</c:v>
                </c:pt>
                <c:pt idx="46">
                  <c:v>9563.3531559581206</c:v>
                </c:pt>
                <c:pt idx="47">
                  <c:v>6711.6792642666815</c:v>
                </c:pt>
                <c:pt idx="48">
                  <c:v>21096.181618501949</c:v>
                </c:pt>
                <c:pt idx="49">
                  <c:v>11233.284778517049</c:v>
                </c:pt>
                <c:pt idx="50">
                  <c:v>5616.3735524969225</c:v>
                </c:pt>
                <c:pt idx="51">
                  <c:v>18297.78195363488</c:v>
                </c:pt>
                <c:pt idx="52">
                  <c:v>7419.4199886021706</c:v>
                </c:pt>
                <c:pt idx="53">
                  <c:v>19845.765971218429</c:v>
                </c:pt>
                <c:pt idx="54">
                  <c:v>18181.255208461225</c:v>
                </c:pt>
                <c:pt idx="55">
                  <c:v>13545.4725977123</c:v>
                </c:pt>
                <c:pt idx="56">
                  <c:v>10539.102729157892</c:v>
                </c:pt>
                <c:pt idx="57">
                  <c:v>13844.410398635435</c:v>
                </c:pt>
                <c:pt idx="58">
                  <c:v>9030.9328609406639</c:v>
                </c:pt>
                <c:pt idx="59">
                  <c:v>20322.384071508357</c:v>
                </c:pt>
                <c:pt idx="60">
                  <c:v>28482.261723702126</c:v>
                </c:pt>
                <c:pt idx="61">
                  <c:v>10370.682877333316</c:v>
                </c:pt>
                <c:pt idx="62">
                  <c:v>15562.368706745257</c:v>
                </c:pt>
                <c:pt idx="63">
                  <c:v>20704.801654916089</c:v>
                </c:pt>
                <c:pt idx="64">
                  <c:v>21218.780561867003</c:v>
                </c:pt>
                <c:pt idx="65">
                  <c:v>16620.0233247379</c:v>
                </c:pt>
                <c:pt idx="66">
                  <c:v>24135.204316958159</c:v>
                </c:pt>
                <c:pt idx="67">
                  <c:v>20797.94608031086</c:v>
                </c:pt>
                <c:pt idx="68">
                  <c:v>18458.771095381613</c:v>
                </c:pt>
                <c:pt idx="69">
                  <c:v>12181.530239611533</c:v>
                </c:pt>
                <c:pt idx="70">
                  <c:v>17594.206432510051</c:v>
                </c:pt>
                <c:pt idx="71">
                  <c:v>6389.133872542614</c:v>
                </c:pt>
                <c:pt idx="72">
                  <c:v>24149.682535796084</c:v>
                </c:pt>
                <c:pt idx="73">
                  <c:v>19429.188283774543</c:v>
                </c:pt>
                <c:pt idx="74">
                  <c:v>27052.909130377309</c:v>
                </c:pt>
                <c:pt idx="75">
                  <c:v>22090.503738829357</c:v>
                </c:pt>
                <c:pt idx="76">
                  <c:v>21971.164199909595</c:v>
                </c:pt>
                <c:pt idx="77">
                  <c:v>10559.256472188976</c:v>
                </c:pt>
                <c:pt idx="78">
                  <c:v>9745.3292463358448</c:v>
                </c:pt>
                <c:pt idx="79">
                  <c:v>17050.513828538904</c:v>
                </c:pt>
                <c:pt idx="80">
                  <c:v>27064.354431886226</c:v>
                </c:pt>
                <c:pt idx="81">
                  <c:v>19291.016548861633</c:v>
                </c:pt>
                <c:pt idx="82">
                  <c:v>15308.582811864258</c:v>
                </c:pt>
                <c:pt idx="83">
                  <c:v>23322.954631765358</c:v>
                </c:pt>
                <c:pt idx="84">
                  <c:v>12630.702731430738</c:v>
                </c:pt>
                <c:pt idx="85">
                  <c:v>15817.122288531109</c:v>
                </c:pt>
                <c:pt idx="86">
                  <c:v>20294.262039334913</c:v>
                </c:pt>
                <c:pt idx="87">
                  <c:v>23277.128847285465</c:v>
                </c:pt>
                <c:pt idx="88">
                  <c:v>19251.83258472327</c:v>
                </c:pt>
                <c:pt idx="89">
                  <c:v>24058.976934355112</c:v>
                </c:pt>
                <c:pt idx="90">
                  <c:v>19509.21859619395</c:v>
                </c:pt>
                <c:pt idx="91">
                  <c:v>19241.089577726681</c:v>
                </c:pt>
                <c:pt idx="92">
                  <c:v>19635.556102953298</c:v>
                </c:pt>
                <c:pt idx="93">
                  <c:v>20098.782962134392</c:v>
                </c:pt>
                <c:pt idx="94">
                  <c:v>16191.125611958705</c:v>
                </c:pt>
                <c:pt idx="95">
                  <c:v>14139.472449185609</c:v>
                </c:pt>
                <c:pt idx="96">
                  <c:v>23812.516431298911</c:v>
                </c:pt>
                <c:pt idx="97">
                  <c:v>19735.09079806093</c:v>
                </c:pt>
                <c:pt idx="98">
                  <c:v>10691.890343168128</c:v>
                </c:pt>
                <c:pt idx="99">
                  <c:v>17053.104299010382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0-48E0-97A7-4947E4226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391264"/>
        <c:axId val="667527856"/>
      </c:lineChart>
      <c:catAx>
        <c:axId val="5853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iTERATION_nO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7856"/>
        <c:crosses val="autoZero"/>
        <c:auto val="1"/>
        <c:lblAlgn val="ctr"/>
        <c:lblOffset val="100"/>
        <c:noMultiLvlLbl val="0"/>
      </c:catAx>
      <c:valAx>
        <c:axId val="6675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RADOM_rES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39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Probability Distribution of Total Route(kms) Electrified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chemeClr val="bg1">
                  <a:lumMod val="95000"/>
                </a:schemeClr>
              </a:solidFill>
              <a:latin typeface="Calibri" panose="020F0502020204030204"/>
            </a:rPr>
            <a:t>Probability Distribution of Total Route(kms) Electrified</a:t>
          </a:r>
        </a:p>
      </cx:txPr>
    </cx:title>
    <cx:plotArea>
      <cx:plotAreaRegion>
        <cx:series layoutId="clusteredColumn" uniqueId="{C2D728FE-774C-4395-BDDA-DDDD6D2CC371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Random_Res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600"/>
              </a:pPr>
              <a:r>
                <a:rPr lang="en-US" sz="16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Random_Res</a:t>
              </a:r>
            </a:p>
          </cx:txPr>
        </cx:title>
        <cx:tickLabels/>
      </cx:axis>
      <cx:axis id="1">
        <cx:valScaling/>
        <cx:title>
          <cx:tx>
            <cx:txData>
              <cx:v>No of Occurances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No of Occurances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Probability Distribution of Total Route(kms)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Probability Distribution of Total Route(kms)</a:t>
          </a:r>
        </a:p>
      </cx:txPr>
    </cx:title>
    <cx:plotArea>
      <cx:plotAreaRegion>
        <cx:series layoutId="clusteredColumn" uniqueId="{BCD7B11B-40D3-4187-80B0-6A0366145DA0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Random_Res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6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Random_Res</a:t>
              </a:r>
            </a:p>
          </cx:txPr>
        </cx:title>
        <cx:tickLabels/>
      </cx:axis>
      <cx:axis id="1">
        <cx:valScaling/>
        <cx:title>
          <cx:tx>
            <cx:txData>
              <cx:v>No of Occurances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6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No of Occurances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Probability Distribution of  Running Track(kms) Electrified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Probability Distribution of  Running Track(kms) Electrified</a:t>
          </a:r>
        </a:p>
      </cx:txPr>
    </cx:title>
    <cx:plotArea>
      <cx:plotAreaRegion>
        <cx:series layoutId="clusteredColumn" uniqueId="{9D524845-6183-4F14-8547-532278D23585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Random_Res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6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Random_Res</a:t>
              </a:r>
            </a:p>
          </cx:txPr>
        </cx:title>
        <cx:tickLabels/>
      </cx:axis>
      <cx:axis id="1">
        <cx:valScaling/>
        <cx:title>
          <cx:tx>
            <cx:txData>
              <cx:v>No_of_Occurances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4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No_of_Occurances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Probability Distribution of Total Track(kms) Electrified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Probability Distribution of Total Track(kms) Electrified</a:t>
          </a:r>
        </a:p>
      </cx:txPr>
    </cx:title>
    <cx:plotArea>
      <cx:plotAreaRegion>
        <cx:series layoutId="clusteredColumn" uniqueId="{BE596F81-9BA0-4649-844D-B0B2E7EA2EE9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Random_Res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6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Random_Res</a:t>
              </a:r>
            </a:p>
          </cx:txPr>
        </cx:title>
        <cx:tickLabels/>
      </cx:axis>
      <cx:axis id="1">
        <cx:valScaling/>
        <cx:title>
          <cx:tx>
            <cx:txData>
              <cx:v>No of Occurances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600" b="0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Calibri" panose="020F0502020204030204"/>
                </a:rPr>
                <a:t>No of Occurances</a:t>
              </a:r>
            </a:p>
          </cx:txPr>
        </cx:title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landscape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chart" Target="../charts/chart3.xml"/><Relationship Id="rId7" Type="http://schemas.microsoft.com/office/2014/relationships/chartEx" Target="../charts/chartEx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2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205740</xdr:colOff>
      <xdr:row>0</xdr:row>
      <xdr:rowOff>7621</xdr:rowOff>
    </xdr:from>
    <xdr:ext cx="8031480" cy="8763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A58A4B-336D-230E-E1CC-34CA2C114636}"/>
            </a:ext>
          </a:extLst>
        </xdr:cNvPr>
        <xdr:cNvSpPr txBox="1"/>
      </xdr:nvSpPr>
      <xdr:spPr>
        <a:xfrm>
          <a:off x="1424940" y="7621"/>
          <a:ext cx="8031480" cy="8763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IN" sz="2400" b="1">
              <a:latin typeface="Aptos Display" panose="020B0004020202020204" pitchFamily="34" charset="0"/>
            </a:rPr>
            <a:t>INDIAN</a:t>
          </a:r>
          <a:r>
            <a:rPr lang="en-IN" sz="2400" b="1" baseline="0">
              <a:latin typeface="Aptos Display" panose="020B0004020202020204" pitchFamily="34" charset="0"/>
            </a:rPr>
            <a:t> RAILWAY ELECTRIFICATION DETAILED ANALYSIS</a:t>
          </a:r>
        </a:p>
        <a:p>
          <a:pPr algn="ctr"/>
          <a:r>
            <a:rPr lang="en-IN" sz="2400" b="1" baseline="0">
              <a:latin typeface="Aptos Display" panose="020B0004020202020204" pitchFamily="34" charset="0"/>
            </a:rPr>
            <a:t>(1950-1997)</a:t>
          </a:r>
          <a:endParaRPr lang="en-IN" sz="2400" b="1">
            <a:latin typeface="Aptos Display" panose="020B0004020202020204" pitchFamily="34" charset="0"/>
          </a:endParaRPr>
        </a:p>
      </xdr:txBody>
    </xdr:sp>
    <xdr:clientData/>
  </xdr:oneCellAnchor>
  <xdr:oneCellAnchor>
    <xdr:from>
      <xdr:col>16</xdr:col>
      <xdr:colOff>30480</xdr:colOff>
      <xdr:row>8</xdr:row>
      <xdr:rowOff>220980</xdr:rowOff>
    </xdr:from>
    <xdr:ext cx="2880360" cy="38862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D6D0E-D4BA-EF47-F834-C87CA093EE4F}"/>
            </a:ext>
          </a:extLst>
        </xdr:cNvPr>
        <xdr:cNvSpPr txBox="1"/>
      </xdr:nvSpPr>
      <xdr:spPr>
        <a:xfrm>
          <a:off x="10957560" y="2590800"/>
          <a:ext cx="2880360" cy="38862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 b="1"/>
            <a:t>Total Route (Kms.) - Electrified</a:t>
          </a:r>
        </a:p>
      </xdr:txBody>
    </xdr:sp>
    <xdr:clientData/>
  </xdr:oneCellAnchor>
  <xdr:oneCellAnchor>
    <xdr:from>
      <xdr:col>22</xdr:col>
      <xdr:colOff>22860</xdr:colOff>
      <xdr:row>9</xdr:row>
      <xdr:rowOff>38100</xdr:rowOff>
    </xdr:from>
    <xdr:ext cx="3299460" cy="3200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2814FC0-0613-46FF-B89F-841E528384FB}"/>
            </a:ext>
          </a:extLst>
        </xdr:cNvPr>
        <xdr:cNvSpPr txBox="1"/>
      </xdr:nvSpPr>
      <xdr:spPr>
        <a:xfrm>
          <a:off x="14919960" y="2636520"/>
          <a:ext cx="3299460" cy="3200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IN" sz="1600" b="1"/>
            <a:t>Total Route (Kms.)</a:t>
          </a:r>
        </a:p>
      </xdr:txBody>
    </xdr:sp>
    <xdr:clientData/>
  </xdr:oneCellAnchor>
  <xdr:oneCellAnchor>
    <xdr:from>
      <xdr:col>16</xdr:col>
      <xdr:colOff>0</xdr:colOff>
      <xdr:row>17</xdr:row>
      <xdr:rowOff>0</xdr:rowOff>
    </xdr:from>
    <xdr:ext cx="3215640" cy="342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E01F8A-9C2D-468F-A97D-ABE483A1B802}"/>
            </a:ext>
          </a:extLst>
        </xdr:cNvPr>
        <xdr:cNvSpPr txBox="1"/>
      </xdr:nvSpPr>
      <xdr:spPr>
        <a:xfrm>
          <a:off x="10927080" y="4427220"/>
          <a:ext cx="321564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Running</a:t>
          </a:r>
          <a:r>
            <a:rPr lang="en-IN" sz="1600" b="1" baseline="0"/>
            <a:t> Track</a:t>
          </a:r>
          <a:r>
            <a:rPr lang="en-IN" sz="1600" b="1"/>
            <a:t>(Kms.) - Electrified</a:t>
          </a:r>
        </a:p>
      </xdr:txBody>
    </xdr:sp>
    <xdr:clientData/>
  </xdr:oneCellAnchor>
  <xdr:oneCellAnchor>
    <xdr:from>
      <xdr:col>22</xdr:col>
      <xdr:colOff>0</xdr:colOff>
      <xdr:row>17</xdr:row>
      <xdr:rowOff>0</xdr:rowOff>
    </xdr:from>
    <xdr:ext cx="3390900" cy="342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4764749-A853-46A8-AB50-7EE0261CF0D7}"/>
            </a:ext>
          </a:extLst>
        </xdr:cNvPr>
        <xdr:cNvSpPr txBox="1"/>
      </xdr:nvSpPr>
      <xdr:spPr>
        <a:xfrm>
          <a:off x="14897100" y="4427220"/>
          <a:ext cx="339090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Running</a:t>
          </a:r>
          <a:r>
            <a:rPr lang="en-IN" sz="1600" b="1" baseline="0"/>
            <a:t> Track</a:t>
          </a:r>
          <a:r>
            <a:rPr lang="en-IN" sz="1600" b="1"/>
            <a:t>(Kms.) Total</a:t>
          </a:r>
        </a:p>
      </xdr:txBody>
    </xdr:sp>
    <xdr:clientData/>
  </xdr:oneCellAnchor>
  <xdr:oneCellAnchor>
    <xdr:from>
      <xdr:col>16</xdr:col>
      <xdr:colOff>0</xdr:colOff>
      <xdr:row>25</xdr:row>
      <xdr:rowOff>0</xdr:rowOff>
    </xdr:from>
    <xdr:ext cx="3291840" cy="34278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F803323-685F-4B4F-ABAA-DC8007213E98}"/>
            </a:ext>
          </a:extLst>
        </xdr:cNvPr>
        <xdr:cNvSpPr txBox="1"/>
      </xdr:nvSpPr>
      <xdr:spPr>
        <a:xfrm>
          <a:off x="10927080" y="6027420"/>
          <a:ext cx="329184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Total Track (Kms.) - Electrified</a:t>
          </a:r>
        </a:p>
      </xdr:txBody>
    </xdr:sp>
    <xdr:clientData/>
  </xdr:oneCellAnchor>
  <xdr:oneCellAnchor>
    <xdr:from>
      <xdr:col>22</xdr:col>
      <xdr:colOff>0</xdr:colOff>
      <xdr:row>25</xdr:row>
      <xdr:rowOff>0</xdr:rowOff>
    </xdr:from>
    <xdr:ext cx="3474720" cy="342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F015E9B-0FC2-41F9-8DB0-96BFE5295AEC}"/>
            </a:ext>
          </a:extLst>
        </xdr:cNvPr>
        <xdr:cNvSpPr txBox="1"/>
      </xdr:nvSpPr>
      <xdr:spPr>
        <a:xfrm>
          <a:off x="14897100" y="6027420"/>
          <a:ext cx="347472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Total Track (Kms.) </a:t>
          </a:r>
        </a:p>
      </xdr:txBody>
    </xdr:sp>
    <xdr:clientData/>
  </xdr:oneCellAnchor>
  <xdr:oneCellAnchor>
    <xdr:from>
      <xdr:col>14</xdr:col>
      <xdr:colOff>373380</xdr:colOff>
      <xdr:row>0</xdr:row>
      <xdr:rowOff>182880</xdr:rowOff>
    </xdr:from>
    <xdr:ext cx="6499860" cy="246888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4E05A3-E950-705F-0621-02CF4A79D0B8}"/>
            </a:ext>
          </a:extLst>
        </xdr:cNvPr>
        <xdr:cNvSpPr txBox="1"/>
      </xdr:nvSpPr>
      <xdr:spPr>
        <a:xfrm>
          <a:off x="10081260" y="182880"/>
          <a:ext cx="6499860" cy="246888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800" b="1"/>
            <a:t>Triangular Distribution</a:t>
          </a:r>
          <a:r>
            <a:rPr lang="en-IN" sz="1800" b="1" baseline="0"/>
            <a:t> Random Number Generator</a:t>
          </a:r>
        </a:p>
        <a:p>
          <a:r>
            <a:rPr lang="en-IN" sz="1600" i="1" baseline="0"/>
            <a:t>Lower Range=Mode-Min</a:t>
          </a:r>
        </a:p>
        <a:p>
          <a:r>
            <a:rPr lang="en-IN" sz="1600" i="1" baseline="0"/>
            <a:t>Higher Range=Max-Mode</a:t>
          </a:r>
        </a:p>
        <a:p>
          <a:r>
            <a:rPr lang="en-IN" sz="1600" i="1" baseline="0"/>
            <a:t>Total Range=Max-Min</a:t>
          </a:r>
        </a:p>
        <a:p>
          <a:r>
            <a:rPr lang="en-IN" sz="1600" i="1" baseline="0"/>
            <a:t>Cumulate_Prob=</a:t>
          </a:r>
          <a:r>
            <a:rPr lang="en-IN" sz="1600" b="1" i="1" baseline="0"/>
            <a:t>RAND()</a:t>
          </a:r>
        </a:p>
        <a:p>
          <a:r>
            <a:rPr lang="en-IN" sz="1600" i="1" baseline="0"/>
            <a:t>if cumulate_Prob &lt;(Lower Range/Total Range) then</a:t>
          </a:r>
        </a:p>
        <a:p>
          <a:r>
            <a:rPr lang="en-IN" sz="1600" i="1" baseline="0"/>
            <a:t>       Random_Res=Min+sqrt(cumulate_Prob*Lower Range*Total Range</a:t>
          </a:r>
        </a:p>
        <a:p>
          <a:r>
            <a:rPr lang="en-IN" sz="1600" i="1" baseline="0"/>
            <a:t>else</a:t>
          </a:r>
        </a:p>
        <a:p>
          <a:r>
            <a:rPr lang="en-IN" sz="1600" i="1" baseline="0"/>
            <a:t>       Random_Res=Max-sqrt((1-cumulate_Prob)*Higher Range*Total Range</a:t>
          </a:r>
          <a:endParaRPr lang="en-IN" sz="1600" i="1"/>
        </a:p>
      </xdr:txBody>
    </xdr:sp>
    <xdr:clientData/>
  </xdr:oneCellAnchor>
  <xdr:twoCellAnchor>
    <xdr:from>
      <xdr:col>13</xdr:col>
      <xdr:colOff>502557</xdr:colOff>
      <xdr:row>34</xdr:row>
      <xdr:rowOff>21046</xdr:rowOff>
    </xdr:from>
    <xdr:to>
      <xdr:col>20</xdr:col>
      <xdr:colOff>157843</xdr:colOff>
      <xdr:row>49</xdr:row>
      <xdr:rowOff>159112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7DEE8C9-5FC2-0FBA-7F3F-5A4B9CBDF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247316</xdr:colOff>
      <xdr:row>22</xdr:row>
      <xdr:rowOff>58058</xdr:rowOff>
    </xdr:from>
    <xdr:ext cx="2780631" cy="319314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57FACB1-7211-4BD5-9735-4574F6C18DA8}"/>
            </a:ext>
          </a:extLst>
        </xdr:cNvPr>
        <xdr:cNvSpPr txBox="1"/>
      </xdr:nvSpPr>
      <xdr:spPr>
        <a:xfrm>
          <a:off x="247316" y="5706216"/>
          <a:ext cx="2780631" cy="31931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 b="1"/>
            <a:t>Total Route (Kms.) - Electrified</a:t>
          </a:r>
        </a:p>
      </xdr:txBody>
    </xdr:sp>
    <xdr:clientData/>
  </xdr:oneCellAnchor>
  <xdr:oneCellAnchor>
    <xdr:from>
      <xdr:col>3</xdr:col>
      <xdr:colOff>537029</xdr:colOff>
      <xdr:row>22</xdr:row>
      <xdr:rowOff>43542</xdr:rowOff>
    </xdr:from>
    <xdr:ext cx="1586774" cy="32004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B9A2EEA-2ED0-4C99-A465-C28B945E86CE}"/>
            </a:ext>
          </a:extLst>
        </xdr:cNvPr>
        <xdr:cNvSpPr txBox="1"/>
      </xdr:nvSpPr>
      <xdr:spPr>
        <a:xfrm>
          <a:off x="3135086" y="5762171"/>
          <a:ext cx="1586774" cy="3200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IN" sz="1600" b="1"/>
            <a:t>Total Route (Kms.)</a:t>
          </a:r>
        </a:p>
      </xdr:txBody>
    </xdr:sp>
    <xdr:clientData/>
  </xdr:oneCellAnchor>
  <xdr:twoCellAnchor>
    <xdr:from>
      <xdr:col>13</xdr:col>
      <xdr:colOff>531173</xdr:colOff>
      <xdr:row>50</xdr:row>
      <xdr:rowOff>95251</xdr:rowOff>
    </xdr:from>
    <xdr:to>
      <xdr:col>20</xdr:col>
      <xdr:colOff>164523</xdr:colOff>
      <xdr:row>66</xdr:row>
      <xdr:rowOff>95251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8DA17ED-0978-46D7-4E84-7F94189A4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754674</xdr:colOff>
      <xdr:row>22</xdr:row>
      <xdr:rowOff>80596</xdr:rowOff>
    </xdr:from>
    <xdr:ext cx="2982057" cy="29307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85B56F2-178C-4FBD-8B52-BE4EE12FBAFF}"/>
            </a:ext>
          </a:extLst>
        </xdr:cNvPr>
        <xdr:cNvSpPr txBox="1"/>
      </xdr:nvSpPr>
      <xdr:spPr>
        <a:xfrm>
          <a:off x="5033597" y="5736981"/>
          <a:ext cx="2982057" cy="2930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IN" sz="1600" b="1"/>
            <a:t>Running</a:t>
          </a:r>
          <a:r>
            <a:rPr lang="en-IN" sz="1600" b="1" baseline="0"/>
            <a:t> Track</a:t>
          </a:r>
          <a:r>
            <a:rPr lang="en-IN" sz="1600" b="1"/>
            <a:t>(Kms.) - Electrified</a:t>
          </a:r>
        </a:p>
      </xdr:txBody>
    </xdr:sp>
    <xdr:clientData/>
  </xdr:oneCellAnchor>
  <xdr:twoCellAnchor>
    <xdr:from>
      <xdr:col>13</xdr:col>
      <xdr:colOff>523875</xdr:colOff>
      <xdr:row>66</xdr:row>
      <xdr:rowOff>130419</xdr:rowOff>
    </xdr:from>
    <xdr:to>
      <xdr:col>20</xdr:col>
      <xdr:colOff>117232</xdr:colOff>
      <xdr:row>81</xdr:row>
      <xdr:rowOff>126023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4B8C73D-3467-0CFE-F295-901235AD2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380999</xdr:colOff>
      <xdr:row>22</xdr:row>
      <xdr:rowOff>51288</xdr:rowOff>
    </xdr:from>
    <xdr:ext cx="2727667" cy="34278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E35E5F4-4490-477A-A4B4-53646405DDE0}"/>
            </a:ext>
          </a:extLst>
        </xdr:cNvPr>
        <xdr:cNvSpPr txBox="1"/>
      </xdr:nvSpPr>
      <xdr:spPr>
        <a:xfrm>
          <a:off x="8022980" y="5707673"/>
          <a:ext cx="2727667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Total Track (Kms.) - Electrified</a:t>
          </a:r>
        </a:p>
      </xdr:txBody>
    </xdr:sp>
    <xdr:clientData/>
  </xdr:oneCellAnchor>
  <xdr:twoCellAnchor>
    <xdr:from>
      <xdr:col>13</xdr:col>
      <xdr:colOff>516548</xdr:colOff>
      <xdr:row>82</xdr:row>
      <xdr:rowOff>71804</xdr:rowOff>
    </xdr:from>
    <xdr:to>
      <xdr:col>20</xdr:col>
      <xdr:colOff>139211</xdr:colOff>
      <xdr:row>97</xdr:row>
      <xdr:rowOff>67408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70D63B6-FD98-ECED-FBDB-0B7FD2490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525250</xdr:colOff>
      <xdr:row>34</xdr:row>
      <xdr:rowOff>24598</xdr:rowOff>
    </xdr:from>
    <xdr:to>
      <xdr:col>26</xdr:col>
      <xdr:colOff>157618</xdr:colOff>
      <xdr:row>49</xdr:row>
      <xdr:rowOff>63926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A77C00C4-2FE6-6B40-9FF8-F4C6DAD378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54513" y="7878545"/>
              <a:ext cx="4578684" cy="27464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507999</xdr:colOff>
      <xdr:row>50</xdr:row>
      <xdr:rowOff>82215</xdr:rowOff>
    </xdr:from>
    <xdr:to>
      <xdr:col>26</xdr:col>
      <xdr:colOff>233947</xdr:colOff>
      <xdr:row>66</xdr:row>
      <xdr:rowOff>53473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0149531E-3E31-2042-015D-4BE8C7D6E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37262" y="10823741"/>
              <a:ext cx="4672264" cy="28588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554788</xdr:colOff>
      <xdr:row>66</xdr:row>
      <xdr:rowOff>160421</xdr:rowOff>
    </xdr:from>
    <xdr:to>
      <xdr:col>26</xdr:col>
      <xdr:colOff>253999</xdr:colOff>
      <xdr:row>81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53A06B1D-3CCE-E0F8-4498-5A30FBFAD3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84051" y="13789526"/>
              <a:ext cx="4645527" cy="27117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528053</xdr:colOff>
      <xdr:row>82</xdr:row>
      <xdr:rowOff>102269</xdr:rowOff>
    </xdr:from>
    <xdr:to>
      <xdr:col>26</xdr:col>
      <xdr:colOff>294105</xdr:colOff>
      <xdr:row>97</xdr:row>
      <xdr:rowOff>138364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B8E4110C-6058-B8E6-5BEB-577BE01C29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57316" y="16618953"/>
              <a:ext cx="4712368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32"/>
  <sheetViews>
    <sheetView tabSelected="1" zoomScale="114" workbookViewId="0">
      <selection activeCell="B2" sqref="B2"/>
    </sheetView>
  </sheetViews>
  <sheetFormatPr defaultRowHeight="14.4" x14ac:dyDescent="0.3"/>
  <cols>
    <col min="1" max="1" width="11.33203125" customWidth="1"/>
    <col min="2" max="2" width="14.88671875" bestFit="1" customWidth="1"/>
    <col min="3" max="3" width="11.6640625" bestFit="1" customWidth="1"/>
    <col min="4" max="4" width="9.6640625" customWidth="1"/>
    <col min="5" max="5" width="15" bestFit="1" customWidth="1"/>
    <col min="6" max="6" width="11.6640625" bestFit="1" customWidth="1"/>
    <col min="7" max="7" width="10.5546875" customWidth="1"/>
    <col min="8" max="8" width="15.21875" bestFit="1" customWidth="1"/>
    <col min="9" max="9" width="11.6640625" bestFit="1" customWidth="1"/>
    <col min="11" max="11" width="15.21875" bestFit="1" customWidth="1"/>
    <col min="12" max="12" width="13.5546875" bestFit="1" customWidth="1"/>
    <col min="13" max="13" width="11.6640625" customWidth="1"/>
    <col min="17" max="17" width="11.77734375" bestFit="1" customWidth="1"/>
    <col min="18" max="18" width="12.109375" bestFit="1" customWidth="1"/>
    <col min="19" max="19" width="10.88671875" bestFit="1" customWidth="1"/>
    <col min="20" max="20" width="14.21875" bestFit="1" customWidth="1"/>
    <col min="21" max="21" width="14.21875" customWidth="1"/>
    <col min="23" max="23" width="11.77734375" bestFit="1" customWidth="1"/>
    <col min="24" max="24" width="12.109375" bestFit="1" customWidth="1"/>
    <col min="25" max="25" width="10.88671875" bestFit="1" customWidth="1"/>
    <col min="26" max="26" width="14.21875" bestFit="1" customWidth="1"/>
    <col min="27" max="27" width="14.21875" customWidth="1"/>
  </cols>
  <sheetData>
    <row r="1" spans="1:28" ht="28.8" x14ac:dyDescent="0.3">
      <c r="A1" s="2"/>
      <c r="G1" s="1" t="s">
        <v>0</v>
      </c>
    </row>
    <row r="6" spans="1:28" ht="78.599999999999994" x14ac:dyDescent="0.35">
      <c r="A6" s="5" t="s">
        <v>1</v>
      </c>
      <c r="B6" s="1"/>
      <c r="C6" s="8" t="s">
        <v>2</v>
      </c>
      <c r="D6" s="8" t="s">
        <v>3</v>
      </c>
      <c r="E6" s="8" t="s">
        <v>4</v>
      </c>
      <c r="F6" s="3"/>
      <c r="G6" s="10" t="s">
        <v>5</v>
      </c>
      <c r="H6" s="10" t="s">
        <v>6</v>
      </c>
      <c r="I6" s="10" t="s">
        <v>7</v>
      </c>
      <c r="J6" s="3"/>
      <c r="K6" s="12" t="s">
        <v>8</v>
      </c>
      <c r="L6" s="12" t="s">
        <v>9</v>
      </c>
      <c r="M6" s="12" t="s">
        <v>30</v>
      </c>
      <c r="N6" s="1"/>
    </row>
    <row r="7" spans="1:28" ht="18" x14ac:dyDescent="0.35">
      <c r="A7" s="6" t="s">
        <v>10</v>
      </c>
      <c r="C7" s="9">
        <v>388</v>
      </c>
      <c r="D7" s="9">
        <v>53596</v>
      </c>
      <c r="E7" s="9">
        <v>0.72399999999999998</v>
      </c>
      <c r="G7" s="11">
        <v>937</v>
      </c>
      <c r="H7" s="11">
        <v>59315</v>
      </c>
      <c r="I7" s="11">
        <v>1.58</v>
      </c>
      <c r="K7" s="13">
        <v>1253</v>
      </c>
      <c r="L7" s="13">
        <v>77609</v>
      </c>
      <c r="M7" s="13">
        <v>1.615</v>
      </c>
    </row>
    <row r="8" spans="1:28" ht="18" x14ac:dyDescent="0.35">
      <c r="A8" s="6" t="s">
        <v>11</v>
      </c>
      <c r="C8" s="9">
        <v>748</v>
      </c>
      <c r="D8" s="9">
        <v>56247</v>
      </c>
      <c r="E8" s="9">
        <v>1.33</v>
      </c>
      <c r="G8" s="11">
        <v>1752</v>
      </c>
      <c r="H8" s="11">
        <v>63602</v>
      </c>
      <c r="I8" s="11">
        <v>2.7549999999999999</v>
      </c>
      <c r="K8" s="13">
        <v>2258</v>
      </c>
      <c r="L8" s="13">
        <v>83706</v>
      </c>
      <c r="M8" s="13">
        <v>2.698</v>
      </c>
    </row>
    <row r="9" spans="1:28" ht="18" x14ac:dyDescent="0.35">
      <c r="A9" s="6" t="s">
        <v>12</v>
      </c>
      <c r="C9" s="9">
        <v>3706</v>
      </c>
      <c r="D9" s="9">
        <v>59790</v>
      </c>
      <c r="E9" s="9">
        <v>6.1980000000000004</v>
      </c>
      <c r="G9" s="11">
        <v>7447</v>
      </c>
      <c r="H9" s="11">
        <v>71669</v>
      </c>
      <c r="I9" s="11">
        <v>10.391</v>
      </c>
      <c r="K9" s="13">
        <v>9586</v>
      </c>
      <c r="L9" s="13">
        <v>98546</v>
      </c>
      <c r="M9" s="13">
        <v>9.7270000000000003</v>
      </c>
    </row>
    <row r="10" spans="1:28" ht="18" x14ac:dyDescent="0.35">
      <c r="A10" s="6" t="s">
        <v>13</v>
      </c>
      <c r="C10" s="9">
        <v>5345</v>
      </c>
      <c r="D10" s="9">
        <v>61240</v>
      </c>
      <c r="E10" s="9">
        <v>8.7279999999999998</v>
      </c>
      <c r="G10" s="11">
        <v>10474</v>
      </c>
      <c r="H10" s="11">
        <v>75860</v>
      </c>
      <c r="I10" s="11">
        <v>13.807</v>
      </c>
      <c r="K10" s="13">
        <v>13448</v>
      </c>
      <c r="L10" s="13">
        <v>104480</v>
      </c>
      <c r="M10" s="13">
        <v>12.871</v>
      </c>
    </row>
    <row r="11" spans="1:28" ht="18" x14ac:dyDescent="0.35">
      <c r="A11" s="6" t="s">
        <v>14</v>
      </c>
      <c r="C11" s="9">
        <v>9968</v>
      </c>
      <c r="D11" s="9">
        <v>62367</v>
      </c>
      <c r="E11" s="9">
        <v>15.983000000000001</v>
      </c>
      <c r="G11" s="11">
        <v>18954</v>
      </c>
      <c r="H11" s="11">
        <v>78607</v>
      </c>
      <c r="I11" s="11">
        <v>24.111999999999998</v>
      </c>
      <c r="K11" s="13">
        <v>25305</v>
      </c>
      <c r="L11" s="13">
        <v>108858</v>
      </c>
      <c r="M11" s="13">
        <v>23.245999999999999</v>
      </c>
    </row>
    <row r="12" spans="1:28" ht="18" x14ac:dyDescent="0.35">
      <c r="A12" s="6" t="s">
        <v>15</v>
      </c>
      <c r="C12" s="9">
        <v>10653</v>
      </c>
      <c r="D12" s="9">
        <v>62458</v>
      </c>
      <c r="E12" s="9">
        <v>17.056000000000001</v>
      </c>
      <c r="G12" s="11">
        <v>20049</v>
      </c>
      <c r="H12" s="11">
        <v>78969</v>
      </c>
      <c r="I12" s="11">
        <v>25.388000000000002</v>
      </c>
      <c r="K12" s="13">
        <v>26585</v>
      </c>
      <c r="L12" s="13">
        <v>109338</v>
      </c>
      <c r="M12" s="13">
        <v>24.315000000000001</v>
      </c>
      <c r="Q12" s="25"/>
      <c r="R12" s="25" t="s">
        <v>16</v>
      </c>
      <c r="S12" s="25" t="s">
        <v>17</v>
      </c>
      <c r="T12" s="25" t="s">
        <v>18</v>
      </c>
      <c r="U12" s="25"/>
      <c r="V12" s="4"/>
      <c r="W12" s="26"/>
      <c r="X12" s="26" t="s">
        <v>16</v>
      </c>
      <c r="Y12" s="26" t="s">
        <v>17</v>
      </c>
      <c r="Z12" s="26" t="s">
        <v>18</v>
      </c>
      <c r="AA12" s="26"/>
    </row>
    <row r="13" spans="1:28" ht="18" x14ac:dyDescent="0.35">
      <c r="A13" s="6" t="s">
        <v>19</v>
      </c>
      <c r="C13" s="9">
        <v>11064</v>
      </c>
      <c r="D13" s="9">
        <v>62486</v>
      </c>
      <c r="E13" s="9">
        <v>17.706</v>
      </c>
      <c r="G13" s="11">
        <v>20819</v>
      </c>
      <c r="H13" s="11">
        <v>79200</v>
      </c>
      <c r="I13" s="11">
        <v>26.286999999999999</v>
      </c>
      <c r="K13" s="13">
        <v>27423</v>
      </c>
      <c r="L13" s="13">
        <v>109149</v>
      </c>
      <c r="M13" s="13">
        <v>25.123999999999999</v>
      </c>
      <c r="Q13" s="15"/>
      <c r="R13" s="15">
        <v>388</v>
      </c>
      <c r="S13" s="15">
        <v>13018</v>
      </c>
      <c r="T13" s="15">
        <v>8202.5450000000001</v>
      </c>
      <c r="U13" s="15"/>
      <c r="W13" s="9"/>
      <c r="X13" s="9">
        <v>53596</v>
      </c>
      <c r="Y13" s="9">
        <v>62915</v>
      </c>
      <c r="Z13" s="9">
        <v>60813.273000000001</v>
      </c>
      <c r="AA13" s="9"/>
    </row>
    <row r="14" spans="1:28" ht="18" x14ac:dyDescent="0.35">
      <c r="A14" s="6" t="s">
        <v>20</v>
      </c>
      <c r="C14" s="9">
        <v>11260</v>
      </c>
      <c r="D14" s="9">
        <v>62462</v>
      </c>
      <c r="E14" s="9">
        <v>18.027000000000001</v>
      </c>
      <c r="G14" s="11">
        <v>21223</v>
      </c>
      <c r="H14" s="11">
        <v>79188</v>
      </c>
      <c r="I14" s="11">
        <v>26.800999999999998</v>
      </c>
      <c r="K14" s="13">
        <v>27898</v>
      </c>
      <c r="L14" s="13">
        <v>108920</v>
      </c>
      <c r="M14" s="13">
        <v>25.613</v>
      </c>
      <c r="Q14" s="15"/>
      <c r="R14" s="15"/>
      <c r="S14" s="15"/>
      <c r="T14" s="15"/>
      <c r="U14" s="15"/>
      <c r="W14" s="9"/>
      <c r="X14" s="9"/>
      <c r="Y14" s="9"/>
      <c r="Z14" s="9"/>
      <c r="AA14" s="9"/>
    </row>
    <row r="15" spans="1:28" ht="18" x14ac:dyDescent="0.35">
      <c r="A15" s="6" t="s">
        <v>21</v>
      </c>
      <c r="C15" s="9">
        <v>11772</v>
      </c>
      <c r="D15" s="9">
        <v>62660</v>
      </c>
      <c r="E15" s="9">
        <v>18.786999999999999</v>
      </c>
      <c r="G15" s="11">
        <v>21866</v>
      </c>
      <c r="H15" s="11">
        <v>79495</v>
      </c>
      <c r="I15" s="11">
        <v>27.506</v>
      </c>
      <c r="K15" s="13">
        <v>28648</v>
      </c>
      <c r="L15" s="13">
        <v>108513</v>
      </c>
      <c r="M15" s="13">
        <v>26.401</v>
      </c>
      <c r="Q15" s="14" t="s">
        <v>22</v>
      </c>
      <c r="R15" s="14" t="s">
        <v>23</v>
      </c>
      <c r="S15" s="14" t="s">
        <v>24</v>
      </c>
      <c r="T15" s="14" t="s">
        <v>25</v>
      </c>
      <c r="U15" s="14" t="s">
        <v>31</v>
      </c>
      <c r="V15" s="4"/>
      <c r="W15" s="16" t="s">
        <v>22</v>
      </c>
      <c r="X15" s="16" t="s">
        <v>23</v>
      </c>
      <c r="Y15" s="16" t="s">
        <v>24</v>
      </c>
      <c r="Z15" s="16" t="s">
        <v>25</v>
      </c>
      <c r="AA15" s="16" t="s">
        <v>31</v>
      </c>
      <c r="AB15" s="4"/>
    </row>
    <row r="16" spans="1:28" ht="18" x14ac:dyDescent="0.35">
      <c r="A16" s="6" t="s">
        <v>26</v>
      </c>
      <c r="C16" s="9">
        <v>12306</v>
      </c>
      <c r="D16" s="9">
        <v>62915</v>
      </c>
      <c r="E16" s="9">
        <v>19.559999999999999</v>
      </c>
      <c r="G16" s="11">
        <v>22684</v>
      </c>
      <c r="H16" s="11">
        <v>80441</v>
      </c>
      <c r="I16" s="11">
        <v>28.2</v>
      </c>
      <c r="K16" s="13">
        <v>29425</v>
      </c>
      <c r="L16" s="13">
        <v>108336</v>
      </c>
      <c r="M16" s="13">
        <v>27.161000000000001</v>
      </c>
      <c r="Q16" s="15">
        <v>7814.5450000000001</v>
      </c>
      <c r="R16" s="15">
        <v>4815.4549999999999</v>
      </c>
      <c r="S16" s="15">
        <v>12630</v>
      </c>
      <c r="T16" s="15">
        <f ca="1">RAND()</f>
        <v>0.58419005029670523</v>
      </c>
      <c r="U16" s="15">
        <f ca="1">IF(T16&lt;(Q16/S16),R13+SQRT(T16*Q16*S16),S13-SQRT((1-T16)*R16*S16))</f>
        <v>7981.3007502801966</v>
      </c>
      <c r="W16" s="9">
        <v>7217.2730000000001</v>
      </c>
      <c r="X16" s="9">
        <v>2101.7269999999999</v>
      </c>
      <c r="Y16" s="9">
        <v>62915</v>
      </c>
      <c r="Z16" s="9">
        <f ca="1">RAND()</f>
        <v>4.7639610392549492E-2</v>
      </c>
      <c r="AA16" s="9">
        <f ca="1">IF(Z16&lt;(W16/Y16),X13+SQRT(Z16*W16*Y16),Y13-SQRT((1-Z16)*X16*Y16))</f>
        <v>58247.015293909019</v>
      </c>
    </row>
    <row r="17" spans="1:27" ht="18" x14ac:dyDescent="0.35">
      <c r="A17" s="6" t="s">
        <v>27</v>
      </c>
      <c r="C17" s="9">
        <v>13018</v>
      </c>
      <c r="D17" s="9">
        <v>62725</v>
      </c>
      <c r="E17" s="9">
        <v>20.754000000000001</v>
      </c>
      <c r="G17" s="11">
        <v>24101</v>
      </c>
      <c r="H17" s="11">
        <v>80754</v>
      </c>
      <c r="I17" s="11">
        <v>29.844999999999999</v>
      </c>
      <c r="K17" s="13">
        <v>31583</v>
      </c>
      <c r="L17" s="13">
        <v>107360</v>
      </c>
      <c r="M17" s="13">
        <v>29.417999999999999</v>
      </c>
    </row>
    <row r="19" spans="1:27" ht="15.6" x14ac:dyDescent="0.3"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</row>
    <row r="20" spans="1:27" ht="18" x14ac:dyDescent="0.35">
      <c r="A20" s="6" t="s">
        <v>28</v>
      </c>
      <c r="C20" s="7">
        <v>13018</v>
      </c>
      <c r="D20" s="7">
        <v>62915</v>
      </c>
      <c r="E20" s="7"/>
      <c r="F20" s="7"/>
      <c r="G20" s="7">
        <v>24101</v>
      </c>
      <c r="H20" s="7">
        <v>80754</v>
      </c>
      <c r="I20" s="7"/>
      <c r="J20" s="7"/>
      <c r="K20" s="7">
        <v>31583</v>
      </c>
      <c r="L20" s="7">
        <v>109338</v>
      </c>
      <c r="Q20" s="28"/>
      <c r="R20" s="29" t="s">
        <v>16</v>
      </c>
      <c r="S20" s="29" t="s">
        <v>17</v>
      </c>
      <c r="T20" s="29" t="s">
        <v>18</v>
      </c>
      <c r="U20" s="29"/>
      <c r="V20" s="30"/>
      <c r="W20" s="31"/>
      <c r="X20" s="31" t="s">
        <v>16</v>
      </c>
      <c r="Y20" s="31" t="s">
        <v>17</v>
      </c>
      <c r="Z20" s="31" t="s">
        <v>18</v>
      </c>
      <c r="AA20" s="31"/>
    </row>
    <row r="21" spans="1:27" ht="18" x14ac:dyDescent="0.35">
      <c r="A21" s="6" t="s">
        <v>16</v>
      </c>
      <c r="C21" s="7">
        <v>388</v>
      </c>
      <c r="D21" s="7">
        <v>53596</v>
      </c>
      <c r="E21" s="7"/>
      <c r="F21" s="7"/>
      <c r="G21" s="7">
        <v>937</v>
      </c>
      <c r="H21" s="7">
        <v>59315</v>
      </c>
      <c r="I21" s="7"/>
      <c r="J21" s="7"/>
      <c r="K21" s="7">
        <v>1253</v>
      </c>
      <c r="L21" s="7">
        <v>77609</v>
      </c>
      <c r="Q21" s="19"/>
      <c r="R21" s="19">
        <v>937</v>
      </c>
      <c r="S21" s="19">
        <v>24101</v>
      </c>
      <c r="T21" s="19">
        <v>15482.364</v>
      </c>
      <c r="U21" s="19"/>
      <c r="W21" s="18"/>
      <c r="X21" s="18">
        <v>59315</v>
      </c>
      <c r="Y21" s="18">
        <v>80754</v>
      </c>
      <c r="Z21" s="18">
        <v>75190.909</v>
      </c>
      <c r="AA21" s="18"/>
    </row>
    <row r="22" spans="1:27" ht="18" x14ac:dyDescent="0.35">
      <c r="A22" s="6" t="s">
        <v>29</v>
      </c>
      <c r="C22" s="7">
        <v>8202.5450000000001</v>
      </c>
      <c r="D22" s="7">
        <v>60813.273000000001</v>
      </c>
      <c r="E22" s="7"/>
      <c r="F22" s="7"/>
      <c r="G22" s="7">
        <v>15482.364</v>
      </c>
      <c r="H22" s="7">
        <v>75190.909</v>
      </c>
      <c r="I22" s="7"/>
      <c r="J22" s="7"/>
      <c r="K22" s="7">
        <v>20310.182000000001</v>
      </c>
      <c r="L22" s="7">
        <v>102255.909</v>
      </c>
      <c r="Q22" s="19"/>
      <c r="R22" s="19"/>
      <c r="S22" s="19"/>
      <c r="T22" s="19"/>
      <c r="U22" s="19"/>
      <c r="W22" s="18"/>
      <c r="X22" s="18"/>
      <c r="Y22" s="18"/>
      <c r="Z22" s="18"/>
      <c r="AA22" s="18"/>
    </row>
    <row r="23" spans="1:27" x14ac:dyDescent="0.3">
      <c r="Q23" s="20" t="s">
        <v>22</v>
      </c>
      <c r="R23" s="20" t="s">
        <v>23</v>
      </c>
      <c r="S23" s="20" t="s">
        <v>24</v>
      </c>
      <c r="T23" s="20" t="s">
        <v>25</v>
      </c>
      <c r="U23" s="20" t="s">
        <v>31</v>
      </c>
      <c r="V23" s="4"/>
      <c r="W23" s="17" t="s">
        <v>22</v>
      </c>
      <c r="X23" s="17" t="s">
        <v>23</v>
      </c>
      <c r="Y23" s="17" t="s">
        <v>24</v>
      </c>
      <c r="Z23" s="17" t="s">
        <v>25</v>
      </c>
      <c r="AA23" s="17" t="s">
        <v>31</v>
      </c>
    </row>
    <row r="24" spans="1:27" x14ac:dyDescent="0.3">
      <c r="Q24" s="19">
        <v>14545.364</v>
      </c>
      <c r="R24" s="19">
        <v>8618.6360000000004</v>
      </c>
      <c r="S24" s="19">
        <v>23164</v>
      </c>
      <c r="T24" s="19">
        <f ca="1">RAND()</f>
        <v>0.72009842906206534</v>
      </c>
      <c r="U24" s="19">
        <f ca="1">IF(T24&lt;(Q24/S24),R21+SQRT(T24*Q24*S24),S21-SQRT((1-T24)*R24*S24))</f>
        <v>16625.698466147791</v>
      </c>
      <c r="W24" s="18">
        <v>15875.909</v>
      </c>
      <c r="X24" s="18">
        <v>5563.0910000000003</v>
      </c>
      <c r="Y24" s="18">
        <v>21439</v>
      </c>
      <c r="Z24" s="18">
        <f ca="1">RAND()</f>
        <v>7.2784691159341941E-2</v>
      </c>
      <c r="AA24" s="18">
        <f ca="1">IF(Z24&lt;(W24/Y24),X21+SQRT(Z24*W24*Y24),Y21-SQRT((1-Z24)*X24*Y24))</f>
        <v>64292.274400492184</v>
      </c>
    </row>
    <row r="25" spans="1:27" ht="15.6" x14ac:dyDescent="0.3">
      <c r="B25" t="s">
        <v>32</v>
      </c>
      <c r="C25" s="7">
        <v>100</v>
      </c>
      <c r="E25" t="s">
        <v>32</v>
      </c>
      <c r="F25" s="7">
        <v>500</v>
      </c>
      <c r="H25" t="s">
        <v>32</v>
      </c>
      <c r="I25" s="7">
        <v>500</v>
      </c>
      <c r="K25" t="s">
        <v>32</v>
      </c>
      <c r="L25" s="7">
        <v>500</v>
      </c>
    </row>
    <row r="26" spans="1:27" x14ac:dyDescent="0.3">
      <c r="B26" t="s">
        <v>33</v>
      </c>
      <c r="C26">
        <v>100</v>
      </c>
      <c r="E26" t="s">
        <v>33</v>
      </c>
      <c r="F26">
        <v>500</v>
      </c>
      <c r="H26" t="s">
        <v>33</v>
      </c>
      <c r="I26">
        <v>500</v>
      </c>
      <c r="K26" t="s">
        <v>33</v>
      </c>
      <c r="L26">
        <v>500</v>
      </c>
    </row>
    <row r="27" spans="1:27" x14ac:dyDescent="0.3">
      <c r="B27" t="s">
        <v>34</v>
      </c>
      <c r="C27">
        <f>T13</f>
        <v>8202.5450000000001</v>
      </c>
      <c r="E27" t="s">
        <v>34</v>
      </c>
      <c r="F27">
        <f>Z21</f>
        <v>75190.909</v>
      </c>
      <c r="H27" t="s">
        <v>34</v>
      </c>
      <c r="I27">
        <f>T21</f>
        <v>15482.364</v>
      </c>
      <c r="K27" t="s">
        <v>34</v>
      </c>
      <c r="L27">
        <f>T29</f>
        <v>20310.182000000001</v>
      </c>
    </row>
    <row r="28" spans="1:27" ht="15.6" x14ac:dyDescent="0.3">
      <c r="B28" t="s">
        <v>36</v>
      </c>
      <c r="C28">
        <f>COUNTIF(C33:C1033,"&gt;8202.545")/C26</f>
        <v>1.76</v>
      </c>
      <c r="E28" t="s">
        <v>36</v>
      </c>
      <c r="F28">
        <f>COUNTIF(F33:F1033,"&gt;75190.9")/F26</f>
        <v>0.28199999999999997</v>
      </c>
      <c r="H28" t="s">
        <v>36</v>
      </c>
      <c r="I28">
        <f>COUNTIF(I33:I1033,"&gt;15482.364")/I26</f>
        <v>0.38600000000000001</v>
      </c>
      <c r="K28" t="s">
        <v>36</v>
      </c>
      <c r="L28">
        <f>COUNTIF(L33:L1033,"&gt;20310.182")/L26</f>
        <v>0.372</v>
      </c>
      <c r="Q28" s="32"/>
      <c r="R28" s="33" t="s">
        <v>16</v>
      </c>
      <c r="S28" s="33" t="s">
        <v>17</v>
      </c>
      <c r="T28" s="33" t="s">
        <v>18</v>
      </c>
      <c r="U28" s="33"/>
      <c r="V28" s="30"/>
      <c r="W28" s="34"/>
      <c r="X28" s="34" t="s">
        <v>16</v>
      </c>
      <c r="Y28" s="34" t="s">
        <v>17</v>
      </c>
      <c r="Z28" s="34" t="s">
        <v>18</v>
      </c>
      <c r="AA28" s="34"/>
    </row>
    <row r="29" spans="1:27" x14ac:dyDescent="0.3">
      <c r="B29" t="s">
        <v>37</v>
      </c>
      <c r="C29">
        <f>COUNTIF(C33:C1033,"&lt;=8202.545")/C26</f>
        <v>3.24</v>
      </c>
      <c r="E29" t="s">
        <v>37</v>
      </c>
      <c r="F29">
        <f>COUNTIF(F33:F1033,"&lt;=75190.9")/F26</f>
        <v>0.71799999999999997</v>
      </c>
      <c r="H29" t="s">
        <v>37</v>
      </c>
      <c r="I29">
        <f>COUNTIF(I33:I1033,"&lt;=15482.364")/I26</f>
        <v>0.61399999999999999</v>
      </c>
      <c r="K29" t="s">
        <v>37</v>
      </c>
      <c r="L29">
        <f>COUNTIF(L33:L1033,"&lt;=20310.182")/L26</f>
        <v>0.628</v>
      </c>
      <c r="Q29" s="21"/>
      <c r="R29" s="21">
        <v>1253</v>
      </c>
      <c r="S29" s="21">
        <v>31583</v>
      </c>
      <c r="T29" s="21">
        <v>20310.182000000001</v>
      </c>
      <c r="U29" s="21"/>
      <c r="W29" s="24"/>
      <c r="X29" s="24">
        <v>77609</v>
      </c>
      <c r="Y29" s="24">
        <v>109338</v>
      </c>
      <c r="Z29" s="24">
        <v>102255.909</v>
      </c>
      <c r="AA29" s="24"/>
    </row>
    <row r="30" spans="1:27" x14ac:dyDescent="0.3">
      <c r="Q30" s="21"/>
      <c r="R30" s="21"/>
      <c r="S30" s="21"/>
      <c r="T30" s="21"/>
      <c r="U30" s="21"/>
      <c r="W30" s="24"/>
      <c r="X30" s="24"/>
      <c r="Y30" s="24"/>
      <c r="Z30" s="24"/>
      <c r="AA30" s="24"/>
    </row>
    <row r="31" spans="1:27" x14ac:dyDescent="0.3">
      <c r="Q31" s="22" t="s">
        <v>22</v>
      </c>
      <c r="R31" s="22" t="s">
        <v>23</v>
      </c>
      <c r="S31" s="22" t="s">
        <v>24</v>
      </c>
      <c r="T31" s="22" t="s">
        <v>25</v>
      </c>
      <c r="U31" s="22" t="s">
        <v>31</v>
      </c>
      <c r="V31" s="4"/>
      <c r="W31" s="23" t="s">
        <v>22</v>
      </c>
      <c r="X31" s="23" t="s">
        <v>23</v>
      </c>
      <c r="Y31" s="23" t="s">
        <v>24</v>
      </c>
      <c r="Z31" s="23" t="s">
        <v>25</v>
      </c>
      <c r="AA31" s="23" t="s">
        <v>31</v>
      </c>
    </row>
    <row r="32" spans="1:27" x14ac:dyDescent="0.3">
      <c r="B32" s="35" t="s">
        <v>35</v>
      </c>
      <c r="C32" s="35" t="s">
        <v>31</v>
      </c>
      <c r="E32" s="35" t="s">
        <v>35</v>
      </c>
      <c r="F32" s="35" t="s">
        <v>31</v>
      </c>
      <c r="H32" s="35" t="s">
        <v>35</v>
      </c>
      <c r="I32" s="35" t="s">
        <v>31</v>
      </c>
      <c r="K32" s="35" t="s">
        <v>35</v>
      </c>
      <c r="L32" s="35" t="s">
        <v>31</v>
      </c>
      <c r="Q32" s="21">
        <v>19057.182000000001</v>
      </c>
      <c r="R32" s="21">
        <v>11272.817999999999</v>
      </c>
      <c r="S32" s="21">
        <v>30330</v>
      </c>
      <c r="T32" s="21">
        <f ca="1">RAND()</f>
        <v>0.53401178829440421</v>
      </c>
      <c r="U32" s="21">
        <f ca="1">IF(T32&lt;(Q32/S32),R29+SQRT(T32*Q32*S32),S29-SQRT((1-T32)*R32*S32))</f>
        <v>18821.754251148534</v>
      </c>
      <c r="W32" s="24">
        <v>24646.909</v>
      </c>
      <c r="X32" s="24">
        <v>7082.0910000000003</v>
      </c>
      <c r="Y32" s="24">
        <v>31729</v>
      </c>
      <c r="Z32" s="24">
        <f ca="1">RAND()</f>
        <v>0.96859464875163215</v>
      </c>
      <c r="AA32" s="24">
        <f ca="1">IF(Z32&lt;(W32/Y32),X29+SQRT(Z32*W32*Y32),Y29-SQRT((1-Z32)*X32*Y32))</f>
        <v>106681.49418254505</v>
      </c>
    </row>
    <row r="33" spans="2:12" x14ac:dyDescent="0.3">
      <c r="B33">
        <v>1</v>
      </c>
      <c r="C33">
        <v>5505.5520968134788</v>
      </c>
      <c r="E33">
        <v>1</v>
      </c>
      <c r="F33">
        <v>69285.121350976231</v>
      </c>
      <c r="H33">
        <v>1</v>
      </c>
      <c r="I33">
        <v>6191.7413104247335</v>
      </c>
      <c r="K33">
        <v>1</v>
      </c>
      <c r="L33">
        <v>27060.953738434593</v>
      </c>
    </row>
    <row r="34" spans="2:12" x14ac:dyDescent="0.3">
      <c r="B34">
        <v>2</v>
      </c>
      <c r="C34">
        <v>2236.8241047517336</v>
      </c>
      <c r="E34">
        <v>2</v>
      </c>
      <c r="F34">
        <v>65206.045057876676</v>
      </c>
      <c r="H34">
        <v>2</v>
      </c>
      <c r="I34">
        <v>8402.7078813910339</v>
      </c>
      <c r="K34">
        <v>2</v>
      </c>
      <c r="L34">
        <v>26425.9283126214</v>
      </c>
    </row>
    <row r="35" spans="2:12" x14ac:dyDescent="0.3">
      <c r="B35">
        <v>3</v>
      </c>
      <c r="C35">
        <v>6518.8939648391197</v>
      </c>
      <c r="E35">
        <v>3</v>
      </c>
      <c r="F35">
        <v>68200.648850178448</v>
      </c>
      <c r="H35">
        <v>3</v>
      </c>
      <c r="I35">
        <v>15780.456519029127</v>
      </c>
      <c r="K35">
        <v>3</v>
      </c>
      <c r="L35">
        <v>19908.775780252199</v>
      </c>
    </row>
    <row r="36" spans="2:12" x14ac:dyDescent="0.3">
      <c r="B36">
        <v>4</v>
      </c>
      <c r="C36">
        <v>5676.804286192345</v>
      </c>
      <c r="E36">
        <v>4</v>
      </c>
      <c r="F36">
        <v>77289.470196277456</v>
      </c>
      <c r="H36">
        <v>4</v>
      </c>
      <c r="I36">
        <v>12232.149854493473</v>
      </c>
      <c r="K36">
        <v>4</v>
      </c>
      <c r="L36">
        <v>18849.682217992671</v>
      </c>
    </row>
    <row r="37" spans="2:12" x14ac:dyDescent="0.3">
      <c r="B37">
        <v>5</v>
      </c>
      <c r="C37">
        <v>8409.3509471842681</v>
      </c>
      <c r="E37">
        <v>5</v>
      </c>
      <c r="F37">
        <v>64691.454046091792</v>
      </c>
      <c r="H37">
        <v>5</v>
      </c>
      <c r="I37">
        <v>12389.128051796431</v>
      </c>
      <c r="K37">
        <v>5</v>
      </c>
      <c r="L37">
        <v>14465.443068593298</v>
      </c>
    </row>
    <row r="38" spans="2:12" x14ac:dyDescent="0.3">
      <c r="B38">
        <v>6</v>
      </c>
      <c r="C38">
        <v>7864.951493235837</v>
      </c>
      <c r="E38">
        <v>6</v>
      </c>
      <c r="F38">
        <v>79309.131251860133</v>
      </c>
      <c r="H38">
        <v>6</v>
      </c>
      <c r="I38">
        <v>11495.575471529119</v>
      </c>
      <c r="K38">
        <v>6</v>
      </c>
      <c r="L38">
        <v>7659.8615429251167</v>
      </c>
    </row>
    <row r="39" spans="2:12" x14ac:dyDescent="0.3">
      <c r="B39">
        <v>7</v>
      </c>
      <c r="C39">
        <v>8820.2083907886736</v>
      </c>
      <c r="E39">
        <v>7</v>
      </c>
      <c r="F39">
        <v>75004.958516625644</v>
      </c>
      <c r="H39">
        <v>7</v>
      </c>
      <c r="I39">
        <v>9183.9795928589392</v>
      </c>
      <c r="K39">
        <v>7</v>
      </c>
      <c r="L39">
        <v>24282.514294282868</v>
      </c>
    </row>
    <row r="40" spans="2:12" x14ac:dyDescent="0.3">
      <c r="B40">
        <v>8</v>
      </c>
      <c r="C40">
        <v>5192.783820252962</v>
      </c>
      <c r="E40">
        <v>8</v>
      </c>
      <c r="F40">
        <v>73001.887952023215</v>
      </c>
      <c r="H40">
        <v>8</v>
      </c>
      <c r="I40">
        <v>10434.377507914405</v>
      </c>
      <c r="K40">
        <v>8</v>
      </c>
      <c r="L40">
        <v>14622.987206775808</v>
      </c>
    </row>
    <row r="41" spans="2:12" x14ac:dyDescent="0.3">
      <c r="B41">
        <v>9</v>
      </c>
      <c r="C41">
        <v>10268.796140951843</v>
      </c>
      <c r="E41">
        <v>9</v>
      </c>
      <c r="F41">
        <v>73665.344525082764</v>
      </c>
      <c r="H41">
        <v>9</v>
      </c>
      <c r="I41">
        <v>9293.0185573274994</v>
      </c>
      <c r="K41">
        <v>9</v>
      </c>
      <c r="L41">
        <v>9630.592701622938</v>
      </c>
    </row>
    <row r="42" spans="2:12" x14ac:dyDescent="0.3">
      <c r="B42">
        <v>10</v>
      </c>
      <c r="C42">
        <v>7010.1954663822826</v>
      </c>
      <c r="E42">
        <v>10</v>
      </c>
      <c r="F42">
        <v>71686.159781544571</v>
      </c>
      <c r="H42">
        <v>10</v>
      </c>
      <c r="I42">
        <v>4919.0850694942237</v>
      </c>
      <c r="K42">
        <v>10</v>
      </c>
      <c r="L42">
        <v>28550.33230169287</v>
      </c>
    </row>
    <row r="43" spans="2:12" x14ac:dyDescent="0.3">
      <c r="B43">
        <v>11</v>
      </c>
      <c r="C43">
        <v>8758.4933037919327</v>
      </c>
      <c r="E43">
        <v>11</v>
      </c>
      <c r="F43">
        <v>65271.731522256014</v>
      </c>
      <c r="H43">
        <v>11</v>
      </c>
      <c r="I43">
        <v>21019.971171405177</v>
      </c>
      <c r="K43">
        <v>11</v>
      </c>
      <c r="L43">
        <v>20338.62087520121</v>
      </c>
    </row>
    <row r="44" spans="2:12" x14ac:dyDescent="0.3">
      <c r="B44">
        <v>12</v>
      </c>
      <c r="C44">
        <v>7201.394901779945</v>
      </c>
      <c r="E44">
        <v>12</v>
      </c>
      <c r="F44">
        <v>75530.671634617218</v>
      </c>
      <c r="H44">
        <v>12</v>
      </c>
      <c r="I44">
        <v>20313.16619312796</v>
      </c>
      <c r="K44">
        <v>12</v>
      </c>
      <c r="L44">
        <v>9535.2480801766469</v>
      </c>
    </row>
    <row r="45" spans="2:12" x14ac:dyDescent="0.3">
      <c r="B45">
        <v>13</v>
      </c>
      <c r="C45">
        <v>6981.0895938065214</v>
      </c>
      <c r="E45">
        <v>13</v>
      </c>
      <c r="F45">
        <v>62309.620392084835</v>
      </c>
      <c r="H45">
        <v>13</v>
      </c>
      <c r="I45">
        <v>13848.221619781307</v>
      </c>
      <c r="K45">
        <v>13</v>
      </c>
      <c r="L45">
        <v>26396.187466088853</v>
      </c>
    </row>
    <row r="46" spans="2:12" x14ac:dyDescent="0.3">
      <c r="B46">
        <v>14</v>
      </c>
      <c r="C46">
        <v>5567.0197543428449</v>
      </c>
      <c r="E46">
        <v>14</v>
      </c>
      <c r="F46">
        <v>62310.917768935426</v>
      </c>
      <c r="H46">
        <v>14</v>
      </c>
      <c r="I46">
        <v>11022.245706467829</v>
      </c>
      <c r="K46">
        <v>14</v>
      </c>
      <c r="L46">
        <v>27030.232687707052</v>
      </c>
    </row>
    <row r="47" spans="2:12" x14ac:dyDescent="0.3">
      <c r="B47">
        <v>15</v>
      </c>
      <c r="C47">
        <v>10121.778120644214</v>
      </c>
      <c r="E47">
        <v>15</v>
      </c>
      <c r="F47">
        <v>76527.016419066116</v>
      </c>
      <c r="H47">
        <v>15</v>
      </c>
      <c r="I47">
        <v>10902.446784297255</v>
      </c>
      <c r="K47">
        <v>15</v>
      </c>
      <c r="L47">
        <v>7477.2290927273807</v>
      </c>
    </row>
    <row r="48" spans="2:12" x14ac:dyDescent="0.3">
      <c r="B48">
        <v>16</v>
      </c>
      <c r="C48">
        <v>5311.1355995027279</v>
      </c>
      <c r="E48">
        <v>16</v>
      </c>
      <c r="F48">
        <v>64025.630715881445</v>
      </c>
      <c r="H48">
        <v>16</v>
      </c>
      <c r="I48">
        <v>13017.325144725326</v>
      </c>
      <c r="K48">
        <v>16</v>
      </c>
      <c r="L48">
        <v>12385.019437893978</v>
      </c>
    </row>
    <row r="49" spans="2:12" x14ac:dyDescent="0.3">
      <c r="B49">
        <v>17</v>
      </c>
      <c r="C49">
        <v>9428.4487137734377</v>
      </c>
      <c r="E49">
        <v>17</v>
      </c>
      <c r="F49">
        <v>74568.537616536079</v>
      </c>
      <c r="H49">
        <v>17</v>
      </c>
      <c r="I49">
        <v>22145.106759476563</v>
      </c>
      <c r="K49">
        <v>17</v>
      </c>
      <c r="L49">
        <v>13353.469941877807</v>
      </c>
    </row>
    <row r="50" spans="2:12" x14ac:dyDescent="0.3">
      <c r="B50">
        <v>18</v>
      </c>
      <c r="C50">
        <v>8866.7716748431012</v>
      </c>
      <c r="E50">
        <v>18</v>
      </c>
      <c r="F50">
        <v>73849.026306067273</v>
      </c>
      <c r="H50">
        <v>18</v>
      </c>
      <c r="I50">
        <v>18320.935860517653</v>
      </c>
      <c r="K50">
        <v>18</v>
      </c>
      <c r="L50">
        <v>21833.905800127795</v>
      </c>
    </row>
    <row r="51" spans="2:12" x14ac:dyDescent="0.3">
      <c r="B51">
        <v>19</v>
      </c>
      <c r="C51">
        <v>8931.2494564049248</v>
      </c>
      <c r="E51">
        <v>19</v>
      </c>
      <c r="F51">
        <v>69103.909314064484</v>
      </c>
      <c r="H51">
        <v>19</v>
      </c>
      <c r="I51">
        <v>12777.991714142476</v>
      </c>
      <c r="K51">
        <v>19</v>
      </c>
      <c r="L51">
        <v>11692.59498422093</v>
      </c>
    </row>
    <row r="52" spans="2:12" x14ac:dyDescent="0.3">
      <c r="B52">
        <v>20</v>
      </c>
      <c r="C52">
        <v>5720.4687846566439</v>
      </c>
      <c r="E52">
        <v>20</v>
      </c>
      <c r="F52">
        <v>75521.452556116565</v>
      </c>
      <c r="H52">
        <v>20</v>
      </c>
      <c r="I52">
        <v>6418.9342298979036</v>
      </c>
      <c r="K52">
        <v>20</v>
      </c>
      <c r="L52">
        <v>28408.364532983072</v>
      </c>
    </row>
    <row r="53" spans="2:12" x14ac:dyDescent="0.3">
      <c r="B53">
        <v>21</v>
      </c>
      <c r="C53">
        <v>8896.0429803729476</v>
      </c>
      <c r="E53">
        <v>21</v>
      </c>
      <c r="F53">
        <v>64141.85139765741</v>
      </c>
      <c r="H53">
        <v>21</v>
      </c>
      <c r="I53">
        <v>15057.515771186552</v>
      </c>
      <c r="K53">
        <v>21</v>
      </c>
      <c r="L53">
        <v>19072.665533745807</v>
      </c>
    </row>
    <row r="54" spans="2:12" x14ac:dyDescent="0.3">
      <c r="B54">
        <v>22</v>
      </c>
      <c r="C54">
        <v>11765.858906476025</v>
      </c>
      <c r="E54">
        <v>22</v>
      </c>
      <c r="F54">
        <v>74011.193231067111</v>
      </c>
      <c r="H54">
        <v>22</v>
      </c>
      <c r="I54">
        <v>9050.3357808688161</v>
      </c>
      <c r="K54">
        <v>22</v>
      </c>
      <c r="L54">
        <v>18277.929337087589</v>
      </c>
    </row>
    <row r="55" spans="2:12" x14ac:dyDescent="0.3">
      <c r="B55">
        <v>23</v>
      </c>
      <c r="C55">
        <v>7203.2483705427394</v>
      </c>
      <c r="E55">
        <v>23</v>
      </c>
      <c r="F55">
        <v>77428.840997227293</v>
      </c>
      <c r="H55">
        <v>23</v>
      </c>
      <c r="I55">
        <v>13003.000655737693</v>
      </c>
      <c r="K55">
        <v>23</v>
      </c>
      <c r="L55">
        <v>5111.4599045804543</v>
      </c>
    </row>
    <row r="56" spans="2:12" x14ac:dyDescent="0.3">
      <c r="B56">
        <v>24</v>
      </c>
      <c r="C56">
        <v>2620.0902284949516</v>
      </c>
      <c r="E56">
        <v>24</v>
      </c>
      <c r="F56">
        <v>75879.038899054824</v>
      </c>
      <c r="H56">
        <v>24</v>
      </c>
      <c r="I56">
        <v>16765.32231170719</v>
      </c>
      <c r="K56">
        <v>24</v>
      </c>
      <c r="L56">
        <v>9878.1312069254309</v>
      </c>
    </row>
    <row r="57" spans="2:12" x14ac:dyDescent="0.3">
      <c r="B57">
        <v>25</v>
      </c>
      <c r="C57">
        <v>9843.322624255039</v>
      </c>
      <c r="E57">
        <v>25</v>
      </c>
      <c r="F57">
        <v>76694.614935473161</v>
      </c>
      <c r="H57">
        <v>25</v>
      </c>
      <c r="I57">
        <v>3495.559342170423</v>
      </c>
      <c r="K57">
        <v>25</v>
      </c>
      <c r="L57">
        <v>14769.794756080602</v>
      </c>
    </row>
    <row r="58" spans="2:12" x14ac:dyDescent="0.3">
      <c r="B58">
        <v>26</v>
      </c>
      <c r="C58">
        <v>4921.1511464346868</v>
      </c>
      <c r="E58">
        <v>26</v>
      </c>
      <c r="F58">
        <v>71043.657851615906</v>
      </c>
      <c r="H58">
        <v>26</v>
      </c>
      <c r="I58">
        <v>10964.99122781195</v>
      </c>
      <c r="K58">
        <v>26</v>
      </c>
      <c r="L58">
        <v>19823.175065384115</v>
      </c>
    </row>
    <row r="59" spans="2:12" x14ac:dyDescent="0.3">
      <c r="B59">
        <v>27</v>
      </c>
      <c r="C59">
        <v>1940.1312983235136</v>
      </c>
      <c r="E59">
        <v>27</v>
      </c>
      <c r="F59">
        <v>75543.265545382877</v>
      </c>
      <c r="H59">
        <v>27</v>
      </c>
      <c r="I59">
        <v>21617.72893995816</v>
      </c>
      <c r="K59">
        <v>27</v>
      </c>
      <c r="L59">
        <v>16698.401454183761</v>
      </c>
    </row>
    <row r="60" spans="2:12" x14ac:dyDescent="0.3">
      <c r="B60">
        <v>28</v>
      </c>
      <c r="C60">
        <v>2190.8526145390078</v>
      </c>
      <c r="E60">
        <v>28</v>
      </c>
      <c r="F60">
        <v>77904.297751457751</v>
      </c>
      <c r="H60">
        <v>28</v>
      </c>
      <c r="I60">
        <v>13274.201504102777</v>
      </c>
      <c r="K60">
        <v>28</v>
      </c>
      <c r="L60">
        <v>8957.0933440773697</v>
      </c>
    </row>
    <row r="61" spans="2:12" x14ac:dyDescent="0.3">
      <c r="B61">
        <v>29</v>
      </c>
      <c r="C61">
        <v>9971.6556560705139</v>
      </c>
      <c r="E61">
        <v>29</v>
      </c>
      <c r="F61">
        <v>79291.448418555941</v>
      </c>
      <c r="H61">
        <v>29</v>
      </c>
      <c r="I61">
        <v>22028.602708894294</v>
      </c>
      <c r="K61">
        <v>29</v>
      </c>
      <c r="L61">
        <v>22932.061184642283</v>
      </c>
    </row>
    <row r="62" spans="2:12" x14ac:dyDescent="0.3">
      <c r="B62">
        <v>30</v>
      </c>
      <c r="C62">
        <v>7700.0620592211553</v>
      </c>
      <c r="E62">
        <v>30</v>
      </c>
      <c r="F62">
        <v>62945.369281468906</v>
      </c>
      <c r="H62">
        <v>30</v>
      </c>
      <c r="I62">
        <v>8128.2046604555735</v>
      </c>
      <c r="K62">
        <v>30</v>
      </c>
      <c r="L62">
        <v>21553.937752776132</v>
      </c>
    </row>
    <row r="63" spans="2:12" x14ac:dyDescent="0.3">
      <c r="B63">
        <v>31</v>
      </c>
      <c r="C63">
        <v>4986.6887045995836</v>
      </c>
      <c r="E63">
        <v>31</v>
      </c>
      <c r="F63">
        <v>77527.945429923042</v>
      </c>
      <c r="H63">
        <v>31</v>
      </c>
      <c r="I63">
        <v>17188.847666359219</v>
      </c>
      <c r="K63">
        <v>31</v>
      </c>
      <c r="L63">
        <v>12002.964627249883</v>
      </c>
    </row>
    <row r="64" spans="2:12" x14ac:dyDescent="0.3">
      <c r="B64">
        <v>32</v>
      </c>
      <c r="C64">
        <v>5240.147957494426</v>
      </c>
      <c r="E64">
        <v>32</v>
      </c>
      <c r="F64">
        <v>71509.401541275554</v>
      </c>
      <c r="H64">
        <v>32</v>
      </c>
      <c r="I64">
        <v>15075.906106609402</v>
      </c>
      <c r="K64">
        <v>32</v>
      </c>
      <c r="L64">
        <v>8877.8279852193409</v>
      </c>
    </row>
    <row r="65" spans="2:12" x14ac:dyDescent="0.3">
      <c r="B65">
        <v>33</v>
      </c>
      <c r="C65">
        <v>6731.4124234966121</v>
      </c>
      <c r="E65">
        <v>33</v>
      </c>
      <c r="F65">
        <v>72238.358445097503</v>
      </c>
      <c r="H65">
        <v>33</v>
      </c>
      <c r="I65">
        <v>19213.880730009369</v>
      </c>
      <c r="K65">
        <v>33</v>
      </c>
      <c r="L65">
        <v>22086.844419068584</v>
      </c>
    </row>
    <row r="66" spans="2:12" x14ac:dyDescent="0.3">
      <c r="B66">
        <v>34</v>
      </c>
      <c r="C66">
        <v>8824.811630016753</v>
      </c>
      <c r="E66">
        <v>34</v>
      </c>
      <c r="F66">
        <v>71681.901601981168</v>
      </c>
      <c r="H66">
        <v>34</v>
      </c>
      <c r="I66">
        <v>16602.433198160663</v>
      </c>
      <c r="K66">
        <v>34</v>
      </c>
      <c r="L66">
        <v>5741.1023970114902</v>
      </c>
    </row>
    <row r="67" spans="2:12" x14ac:dyDescent="0.3">
      <c r="B67">
        <v>35</v>
      </c>
      <c r="C67">
        <v>3494.125801379289</v>
      </c>
      <c r="E67">
        <v>35</v>
      </c>
      <c r="F67">
        <v>74105.349593014005</v>
      </c>
      <c r="H67">
        <v>35</v>
      </c>
      <c r="I67">
        <v>18190.464595618876</v>
      </c>
      <c r="K67">
        <v>35</v>
      </c>
      <c r="L67">
        <v>28752.467766861082</v>
      </c>
    </row>
    <row r="68" spans="2:12" x14ac:dyDescent="0.3">
      <c r="B68">
        <v>36</v>
      </c>
      <c r="C68">
        <v>3858.9332933307201</v>
      </c>
      <c r="E68">
        <v>36</v>
      </c>
      <c r="F68">
        <v>66964.863520899889</v>
      </c>
      <c r="H68">
        <v>36</v>
      </c>
      <c r="I68">
        <v>5319.7411005337035</v>
      </c>
      <c r="K68">
        <v>36</v>
      </c>
      <c r="L68">
        <v>16030.22647909777</v>
      </c>
    </row>
    <row r="69" spans="2:12" x14ac:dyDescent="0.3">
      <c r="B69">
        <v>37</v>
      </c>
      <c r="C69">
        <v>8475.7736274738472</v>
      </c>
      <c r="E69">
        <v>37</v>
      </c>
      <c r="F69">
        <v>74218.576260866801</v>
      </c>
      <c r="H69">
        <v>37</v>
      </c>
      <c r="I69">
        <v>13314.751514956786</v>
      </c>
      <c r="K69">
        <v>37</v>
      </c>
      <c r="L69">
        <v>17925.029209717854</v>
      </c>
    </row>
    <row r="70" spans="2:12" x14ac:dyDescent="0.3">
      <c r="B70">
        <v>38</v>
      </c>
      <c r="C70">
        <v>6842.1168270343151</v>
      </c>
      <c r="E70">
        <v>38</v>
      </c>
      <c r="F70">
        <v>78789.573805643857</v>
      </c>
      <c r="H70">
        <v>38</v>
      </c>
      <c r="I70">
        <v>8684.7796290960359</v>
      </c>
      <c r="K70">
        <v>38</v>
      </c>
      <c r="L70">
        <v>16273.898590501036</v>
      </c>
    </row>
    <row r="71" spans="2:12" x14ac:dyDescent="0.3">
      <c r="B71">
        <v>39</v>
      </c>
      <c r="C71">
        <v>9157.2451374271059</v>
      </c>
      <c r="E71">
        <v>39</v>
      </c>
      <c r="F71">
        <v>64331.709812378016</v>
      </c>
      <c r="H71">
        <v>39</v>
      </c>
      <c r="I71">
        <v>16523.755385207183</v>
      </c>
      <c r="K71">
        <v>39</v>
      </c>
      <c r="L71">
        <v>18619.084124436398</v>
      </c>
    </row>
    <row r="72" spans="2:12" x14ac:dyDescent="0.3">
      <c r="B72">
        <v>40</v>
      </c>
      <c r="C72">
        <v>10077.339073787129</v>
      </c>
      <c r="E72">
        <v>40</v>
      </c>
      <c r="F72">
        <v>69759.076657047321</v>
      </c>
      <c r="H72">
        <v>40</v>
      </c>
      <c r="I72">
        <v>17554.272633683508</v>
      </c>
      <c r="K72">
        <v>40</v>
      </c>
      <c r="L72">
        <v>26316.215868659252</v>
      </c>
    </row>
    <row r="73" spans="2:12" x14ac:dyDescent="0.3">
      <c r="B73">
        <v>41</v>
      </c>
      <c r="C73">
        <v>7939.9879099576947</v>
      </c>
      <c r="E73">
        <v>41</v>
      </c>
      <c r="F73">
        <v>69472.10599034006</v>
      </c>
      <c r="H73">
        <v>41</v>
      </c>
      <c r="I73">
        <v>11883.043147142498</v>
      </c>
      <c r="K73">
        <v>41</v>
      </c>
      <c r="L73">
        <v>14463.373549527818</v>
      </c>
    </row>
    <row r="74" spans="2:12" x14ac:dyDescent="0.3">
      <c r="B74">
        <v>42</v>
      </c>
      <c r="C74">
        <v>5448.369716636561</v>
      </c>
      <c r="E74">
        <v>42</v>
      </c>
      <c r="F74">
        <v>60144.630823957123</v>
      </c>
      <c r="H74">
        <v>42</v>
      </c>
      <c r="I74">
        <v>13898.557521309489</v>
      </c>
      <c r="K74">
        <v>42</v>
      </c>
      <c r="L74">
        <v>15751.970407027566</v>
      </c>
    </row>
    <row r="75" spans="2:12" x14ac:dyDescent="0.3">
      <c r="B75">
        <v>43</v>
      </c>
      <c r="C75">
        <v>9066.987050104588</v>
      </c>
      <c r="E75">
        <v>43</v>
      </c>
      <c r="F75">
        <v>73843.368118103623</v>
      </c>
      <c r="H75">
        <v>43</v>
      </c>
      <c r="I75">
        <v>9830.8140533489895</v>
      </c>
      <c r="K75">
        <v>43</v>
      </c>
      <c r="L75">
        <v>3319.1787272872994</v>
      </c>
    </row>
    <row r="76" spans="2:12" x14ac:dyDescent="0.3">
      <c r="B76">
        <v>44</v>
      </c>
      <c r="C76">
        <v>12426.657157972506</v>
      </c>
      <c r="E76">
        <v>44</v>
      </c>
      <c r="F76">
        <v>71892.945143955192</v>
      </c>
      <c r="H76">
        <v>44</v>
      </c>
      <c r="I76">
        <v>16484.436864901443</v>
      </c>
      <c r="K76">
        <v>44</v>
      </c>
      <c r="L76">
        <v>26337.008025969328</v>
      </c>
    </row>
    <row r="77" spans="2:12" x14ac:dyDescent="0.3">
      <c r="B77">
        <v>45</v>
      </c>
      <c r="C77">
        <v>9151.219718942144</v>
      </c>
      <c r="E77">
        <v>45</v>
      </c>
      <c r="F77">
        <v>62953.752628527931</v>
      </c>
      <c r="H77">
        <v>45</v>
      </c>
      <c r="I77">
        <v>4033.8731778847205</v>
      </c>
      <c r="K77">
        <v>45</v>
      </c>
      <c r="L77">
        <v>16480.269916532332</v>
      </c>
    </row>
    <row r="78" spans="2:12" x14ac:dyDescent="0.3">
      <c r="B78">
        <v>46</v>
      </c>
      <c r="C78">
        <v>3245.7637840434509</v>
      </c>
      <c r="E78">
        <v>46</v>
      </c>
      <c r="F78">
        <v>67383.79660366704</v>
      </c>
      <c r="H78">
        <v>46</v>
      </c>
      <c r="I78">
        <v>14294.352149177843</v>
      </c>
      <c r="K78">
        <v>46</v>
      </c>
      <c r="L78">
        <v>23670.717379361718</v>
      </c>
    </row>
    <row r="79" spans="2:12" x14ac:dyDescent="0.3">
      <c r="B79">
        <v>47</v>
      </c>
      <c r="C79">
        <v>8866.6204482871362</v>
      </c>
      <c r="E79">
        <v>47</v>
      </c>
      <c r="F79">
        <v>67885.743195605042</v>
      </c>
      <c r="H79">
        <v>47</v>
      </c>
      <c r="I79">
        <v>15705.575762982282</v>
      </c>
      <c r="K79">
        <v>47</v>
      </c>
      <c r="L79">
        <v>9563.3531559581206</v>
      </c>
    </row>
    <row r="80" spans="2:12" x14ac:dyDescent="0.3">
      <c r="B80">
        <v>48</v>
      </c>
      <c r="C80">
        <v>9935.47203291595</v>
      </c>
      <c r="E80">
        <v>48</v>
      </c>
      <c r="F80">
        <v>72541.517294130084</v>
      </c>
      <c r="H80">
        <v>48</v>
      </c>
      <c r="I80">
        <v>15381.101349112876</v>
      </c>
      <c r="K80">
        <v>48</v>
      </c>
      <c r="L80">
        <v>6711.6792642666815</v>
      </c>
    </row>
    <row r="81" spans="2:12" x14ac:dyDescent="0.3">
      <c r="B81">
        <v>49</v>
      </c>
      <c r="C81">
        <v>3767.3796758432754</v>
      </c>
      <c r="E81">
        <v>49</v>
      </c>
      <c r="F81">
        <v>70762.0655485389</v>
      </c>
      <c r="H81">
        <v>49</v>
      </c>
      <c r="I81">
        <v>19261.467198283335</v>
      </c>
      <c r="K81">
        <v>49</v>
      </c>
      <c r="L81">
        <v>21096.181618501949</v>
      </c>
    </row>
    <row r="82" spans="2:12" x14ac:dyDescent="0.3">
      <c r="B82">
        <v>50</v>
      </c>
      <c r="C82">
        <v>7284.11282028609</v>
      </c>
      <c r="E82">
        <v>50</v>
      </c>
      <c r="F82">
        <v>70878.400526997371</v>
      </c>
      <c r="H82">
        <v>50</v>
      </c>
      <c r="I82">
        <v>15477.396161895496</v>
      </c>
      <c r="K82">
        <v>50</v>
      </c>
      <c r="L82">
        <v>11233.284778517049</v>
      </c>
    </row>
    <row r="83" spans="2:12" x14ac:dyDescent="0.3">
      <c r="B83">
        <v>51</v>
      </c>
      <c r="C83">
        <v>6507.5971245314004</v>
      </c>
      <c r="E83">
        <v>51</v>
      </c>
      <c r="F83">
        <v>74519.679652282095</v>
      </c>
      <c r="H83">
        <v>51</v>
      </c>
      <c r="I83">
        <v>15978.719021669003</v>
      </c>
      <c r="K83">
        <v>51</v>
      </c>
      <c r="L83">
        <v>5616.3735524969225</v>
      </c>
    </row>
    <row r="84" spans="2:12" x14ac:dyDescent="0.3">
      <c r="B84">
        <v>52</v>
      </c>
      <c r="C84">
        <v>8888.6595079391773</v>
      </c>
      <c r="E84">
        <v>52</v>
      </c>
      <c r="F84">
        <v>64518.592201408617</v>
      </c>
      <c r="H84">
        <v>52</v>
      </c>
      <c r="I84">
        <v>4958.9383108437669</v>
      </c>
      <c r="K84">
        <v>52</v>
      </c>
      <c r="L84">
        <v>18297.78195363488</v>
      </c>
    </row>
    <row r="85" spans="2:12" x14ac:dyDescent="0.3">
      <c r="B85">
        <v>53</v>
      </c>
      <c r="C85">
        <v>7888.8967169907874</v>
      </c>
      <c r="E85">
        <v>53</v>
      </c>
      <c r="F85">
        <v>60247.452844572108</v>
      </c>
      <c r="H85">
        <v>53</v>
      </c>
      <c r="I85">
        <v>13766.860248892388</v>
      </c>
      <c r="K85">
        <v>53</v>
      </c>
      <c r="L85">
        <v>7419.4199886021706</v>
      </c>
    </row>
    <row r="86" spans="2:12" x14ac:dyDescent="0.3">
      <c r="B86">
        <v>54</v>
      </c>
      <c r="C86">
        <v>4717.7223972527017</v>
      </c>
      <c r="E86">
        <v>54</v>
      </c>
      <c r="F86">
        <v>70878.14275981528</v>
      </c>
      <c r="H86">
        <v>54</v>
      </c>
      <c r="I86">
        <v>17480.97941812994</v>
      </c>
      <c r="K86">
        <v>54</v>
      </c>
      <c r="L86">
        <v>19845.765971218429</v>
      </c>
    </row>
    <row r="87" spans="2:12" x14ac:dyDescent="0.3">
      <c r="B87">
        <v>55</v>
      </c>
      <c r="C87">
        <v>6716.8518058320442</v>
      </c>
      <c r="E87">
        <v>55</v>
      </c>
      <c r="F87">
        <v>66448.140789177007</v>
      </c>
      <c r="H87">
        <v>55</v>
      </c>
      <c r="I87">
        <v>14923.110089553136</v>
      </c>
      <c r="K87">
        <v>55</v>
      </c>
      <c r="L87">
        <v>18181.255208461225</v>
      </c>
    </row>
    <row r="88" spans="2:12" x14ac:dyDescent="0.3">
      <c r="B88">
        <v>56</v>
      </c>
      <c r="C88">
        <v>5928.890018008985</v>
      </c>
      <c r="E88">
        <v>56</v>
      </c>
      <c r="F88">
        <v>76522.211060942267</v>
      </c>
      <c r="H88">
        <v>56</v>
      </c>
      <c r="I88">
        <v>13152.272542101786</v>
      </c>
      <c r="K88">
        <v>56</v>
      </c>
      <c r="L88">
        <v>13545.4725977123</v>
      </c>
    </row>
    <row r="89" spans="2:12" x14ac:dyDescent="0.3">
      <c r="B89">
        <v>57</v>
      </c>
      <c r="C89">
        <v>9638.2178416434454</v>
      </c>
      <c r="E89">
        <v>57</v>
      </c>
      <c r="F89">
        <v>74608.14561928084</v>
      </c>
      <c r="H89">
        <v>57</v>
      </c>
      <c r="I89">
        <v>22542.502431260818</v>
      </c>
      <c r="K89">
        <v>57</v>
      </c>
      <c r="L89">
        <v>10539.102729157892</v>
      </c>
    </row>
    <row r="90" spans="2:12" x14ac:dyDescent="0.3">
      <c r="B90">
        <v>58</v>
      </c>
      <c r="C90">
        <v>7020.7098148741989</v>
      </c>
      <c r="E90">
        <v>58</v>
      </c>
      <c r="F90">
        <v>76149.048834222645</v>
      </c>
      <c r="H90">
        <v>58</v>
      </c>
      <c r="I90">
        <v>6316.9346597638951</v>
      </c>
      <c r="K90">
        <v>58</v>
      </c>
      <c r="L90">
        <v>13844.410398635435</v>
      </c>
    </row>
    <row r="91" spans="2:12" x14ac:dyDescent="0.3">
      <c r="B91">
        <v>59</v>
      </c>
      <c r="C91">
        <v>9648.8363114190252</v>
      </c>
      <c r="E91">
        <v>59</v>
      </c>
      <c r="F91">
        <v>75724.697682935643</v>
      </c>
      <c r="H91">
        <v>59</v>
      </c>
      <c r="I91">
        <v>11126.646299843804</v>
      </c>
      <c r="K91">
        <v>59</v>
      </c>
      <c r="L91">
        <v>9030.9328609406639</v>
      </c>
    </row>
    <row r="92" spans="2:12" x14ac:dyDescent="0.3">
      <c r="B92">
        <v>60</v>
      </c>
      <c r="C92">
        <v>6787.3121957775766</v>
      </c>
      <c r="E92">
        <v>60</v>
      </c>
      <c r="F92">
        <v>70120.331985263576</v>
      </c>
      <c r="H92">
        <v>60</v>
      </c>
      <c r="I92">
        <v>11803.22162395655</v>
      </c>
      <c r="K92">
        <v>60</v>
      </c>
      <c r="L92">
        <v>20322.384071508357</v>
      </c>
    </row>
    <row r="93" spans="2:12" x14ac:dyDescent="0.3">
      <c r="B93">
        <v>61</v>
      </c>
      <c r="C93">
        <v>11246.606351167731</v>
      </c>
      <c r="E93">
        <v>61</v>
      </c>
      <c r="F93">
        <v>74179.225804696573</v>
      </c>
      <c r="H93">
        <v>61</v>
      </c>
      <c r="I93">
        <v>11262.647925841917</v>
      </c>
      <c r="K93">
        <v>61</v>
      </c>
      <c r="L93">
        <v>28482.261723702126</v>
      </c>
    </row>
    <row r="94" spans="2:12" x14ac:dyDescent="0.3">
      <c r="B94">
        <v>62</v>
      </c>
      <c r="C94">
        <v>4860.5699476210784</v>
      </c>
      <c r="E94">
        <v>62</v>
      </c>
      <c r="F94">
        <v>70890.979542278365</v>
      </c>
      <c r="H94">
        <v>62</v>
      </c>
      <c r="I94">
        <v>18364.772697741701</v>
      </c>
      <c r="K94">
        <v>62</v>
      </c>
      <c r="L94">
        <v>10370.682877333316</v>
      </c>
    </row>
    <row r="95" spans="2:12" x14ac:dyDescent="0.3">
      <c r="B95">
        <v>63</v>
      </c>
      <c r="C95">
        <v>9452.9333343372709</v>
      </c>
      <c r="E95">
        <v>63</v>
      </c>
      <c r="F95">
        <v>65136.554591937114</v>
      </c>
      <c r="H95">
        <v>63</v>
      </c>
      <c r="I95">
        <v>16226.336608884081</v>
      </c>
      <c r="K95">
        <v>63</v>
      </c>
      <c r="L95">
        <v>15562.368706745257</v>
      </c>
    </row>
    <row r="96" spans="2:12" x14ac:dyDescent="0.3">
      <c r="B96">
        <v>64</v>
      </c>
      <c r="C96">
        <v>3866.8981347671556</v>
      </c>
      <c r="E96">
        <v>64</v>
      </c>
      <c r="F96">
        <v>68405.342222394072</v>
      </c>
      <c r="H96">
        <v>64</v>
      </c>
      <c r="I96">
        <v>12521.419737210268</v>
      </c>
      <c r="K96">
        <v>64</v>
      </c>
      <c r="L96">
        <v>20704.801654916089</v>
      </c>
    </row>
    <row r="97" spans="2:12" x14ac:dyDescent="0.3">
      <c r="B97">
        <v>65</v>
      </c>
      <c r="C97">
        <v>7649.4339910461931</v>
      </c>
      <c r="E97">
        <v>65</v>
      </c>
      <c r="F97">
        <v>77068.506352739802</v>
      </c>
      <c r="H97">
        <v>65</v>
      </c>
      <c r="I97">
        <v>10653.406639069286</v>
      </c>
      <c r="K97">
        <v>65</v>
      </c>
      <c r="L97">
        <v>21218.780561867003</v>
      </c>
    </row>
    <row r="98" spans="2:12" x14ac:dyDescent="0.3">
      <c r="B98">
        <v>66</v>
      </c>
      <c r="C98">
        <v>6576.0348393174181</v>
      </c>
      <c r="E98">
        <v>66</v>
      </c>
      <c r="F98">
        <v>64320.646064309651</v>
      </c>
      <c r="H98">
        <v>66</v>
      </c>
      <c r="I98">
        <v>8071.5598328058459</v>
      </c>
      <c r="K98">
        <v>66</v>
      </c>
      <c r="L98">
        <v>16620.0233247379</v>
      </c>
    </row>
    <row r="99" spans="2:12" x14ac:dyDescent="0.3">
      <c r="B99">
        <v>67</v>
      </c>
      <c r="C99">
        <v>7814.0894209733642</v>
      </c>
      <c r="E99">
        <v>67</v>
      </c>
      <c r="F99">
        <v>75451.308104130017</v>
      </c>
      <c r="H99">
        <v>67</v>
      </c>
      <c r="I99">
        <v>13097.446538327469</v>
      </c>
      <c r="K99">
        <v>67</v>
      </c>
      <c r="L99">
        <v>24135.204316958159</v>
      </c>
    </row>
    <row r="100" spans="2:12" x14ac:dyDescent="0.3">
      <c r="B100">
        <v>68</v>
      </c>
      <c r="C100">
        <v>9221.3319531723755</v>
      </c>
      <c r="E100">
        <v>68</v>
      </c>
      <c r="F100">
        <v>73451.348398483737</v>
      </c>
      <c r="H100">
        <v>68</v>
      </c>
      <c r="I100">
        <v>16062.652546485439</v>
      </c>
      <c r="K100">
        <v>68</v>
      </c>
      <c r="L100">
        <v>20797.94608031086</v>
      </c>
    </row>
    <row r="101" spans="2:12" x14ac:dyDescent="0.3">
      <c r="B101">
        <v>69</v>
      </c>
      <c r="C101">
        <v>8560.5106453689696</v>
      </c>
      <c r="E101">
        <v>69</v>
      </c>
      <c r="F101">
        <v>76499.13720884567</v>
      </c>
      <c r="H101">
        <v>69</v>
      </c>
      <c r="I101">
        <v>16263.282853304576</v>
      </c>
      <c r="K101">
        <v>69</v>
      </c>
      <c r="L101">
        <v>18458.771095381613</v>
      </c>
    </row>
    <row r="102" spans="2:12" x14ac:dyDescent="0.3">
      <c r="B102">
        <v>70</v>
      </c>
      <c r="C102">
        <v>9836.4594139761411</v>
      </c>
      <c r="E102">
        <v>70</v>
      </c>
      <c r="F102">
        <v>77012.176991964385</v>
      </c>
      <c r="H102">
        <v>70</v>
      </c>
      <c r="I102">
        <v>11078.219216806874</v>
      </c>
      <c r="K102">
        <v>70</v>
      </c>
      <c r="L102">
        <v>12181.530239611533</v>
      </c>
    </row>
    <row r="103" spans="2:12" x14ac:dyDescent="0.3">
      <c r="B103">
        <v>71</v>
      </c>
      <c r="C103">
        <v>10547.108680488964</v>
      </c>
      <c r="E103">
        <v>71</v>
      </c>
      <c r="F103">
        <v>75868.581223850735</v>
      </c>
      <c r="H103">
        <v>71</v>
      </c>
      <c r="I103">
        <v>3710.9841838202951</v>
      </c>
      <c r="K103">
        <v>71</v>
      </c>
      <c r="L103">
        <v>17594.206432510051</v>
      </c>
    </row>
    <row r="104" spans="2:12" x14ac:dyDescent="0.3">
      <c r="B104">
        <v>72</v>
      </c>
      <c r="C104">
        <v>7795.0612238435588</v>
      </c>
      <c r="E104">
        <v>72</v>
      </c>
      <c r="F104">
        <v>72343.709321387403</v>
      </c>
      <c r="H104">
        <v>72</v>
      </c>
      <c r="I104">
        <v>16058.455054091541</v>
      </c>
      <c r="K104">
        <v>72</v>
      </c>
      <c r="L104">
        <v>6389.133872542614</v>
      </c>
    </row>
    <row r="105" spans="2:12" x14ac:dyDescent="0.3">
      <c r="B105">
        <v>73</v>
      </c>
      <c r="C105">
        <v>5691.3227855337182</v>
      </c>
      <c r="E105">
        <v>73</v>
      </c>
      <c r="F105">
        <v>76115.246001541993</v>
      </c>
      <c r="H105">
        <v>73</v>
      </c>
      <c r="I105">
        <v>12299.636842310474</v>
      </c>
      <c r="K105">
        <v>73</v>
      </c>
      <c r="L105">
        <v>24149.682535796084</v>
      </c>
    </row>
    <row r="106" spans="2:12" x14ac:dyDescent="0.3">
      <c r="B106">
        <v>74</v>
      </c>
      <c r="C106">
        <v>12063.984194892151</v>
      </c>
      <c r="E106">
        <v>74</v>
      </c>
      <c r="F106">
        <v>72125.996072566821</v>
      </c>
      <c r="H106">
        <v>74</v>
      </c>
      <c r="I106">
        <v>12083.818486504262</v>
      </c>
      <c r="K106">
        <v>74</v>
      </c>
      <c r="L106">
        <v>19429.188283774543</v>
      </c>
    </row>
    <row r="107" spans="2:12" x14ac:dyDescent="0.3">
      <c r="B107">
        <v>75</v>
      </c>
      <c r="C107">
        <v>2666.8174451768637</v>
      </c>
      <c r="E107">
        <v>75</v>
      </c>
      <c r="F107">
        <v>64902.200434545281</v>
      </c>
      <c r="H107">
        <v>75</v>
      </c>
      <c r="I107">
        <v>8754.7732483961445</v>
      </c>
      <c r="K107">
        <v>75</v>
      </c>
      <c r="L107">
        <v>27052.909130377309</v>
      </c>
    </row>
    <row r="108" spans="2:12" x14ac:dyDescent="0.3">
      <c r="B108">
        <v>76</v>
      </c>
      <c r="C108">
        <v>5478.4261713829819</v>
      </c>
      <c r="E108">
        <v>76</v>
      </c>
      <c r="F108">
        <v>74277.995857631962</v>
      </c>
      <c r="H108">
        <v>76</v>
      </c>
      <c r="I108">
        <v>15706.642644612319</v>
      </c>
      <c r="K108">
        <v>76</v>
      </c>
      <c r="L108">
        <v>22090.503738829357</v>
      </c>
    </row>
    <row r="109" spans="2:12" x14ac:dyDescent="0.3">
      <c r="B109">
        <v>77</v>
      </c>
      <c r="C109">
        <v>10165.540589954478</v>
      </c>
      <c r="E109">
        <v>77</v>
      </c>
      <c r="F109">
        <v>77608.071603809294</v>
      </c>
      <c r="H109">
        <v>77</v>
      </c>
      <c r="I109">
        <v>19327.62247388918</v>
      </c>
      <c r="K109">
        <v>77</v>
      </c>
      <c r="L109">
        <v>21971.164199909595</v>
      </c>
    </row>
    <row r="110" spans="2:12" x14ac:dyDescent="0.3">
      <c r="B110">
        <v>78</v>
      </c>
      <c r="C110">
        <v>7409.8180840086716</v>
      </c>
      <c r="E110">
        <v>78</v>
      </c>
      <c r="F110">
        <v>68819.127794312022</v>
      </c>
      <c r="H110">
        <v>78</v>
      </c>
      <c r="I110">
        <v>13374.120060762465</v>
      </c>
      <c r="K110">
        <v>78</v>
      </c>
      <c r="L110">
        <v>10559.256472188976</v>
      </c>
    </row>
    <row r="111" spans="2:12" x14ac:dyDescent="0.3">
      <c r="B111">
        <v>79</v>
      </c>
      <c r="C111">
        <v>739.88719315546723</v>
      </c>
      <c r="E111">
        <v>79</v>
      </c>
      <c r="F111">
        <v>64832.020521993567</v>
      </c>
      <c r="H111">
        <v>79</v>
      </c>
      <c r="I111">
        <v>16312.641342990366</v>
      </c>
      <c r="K111">
        <v>79</v>
      </c>
      <c r="L111">
        <v>9745.3292463358448</v>
      </c>
    </row>
    <row r="112" spans="2:12" x14ac:dyDescent="0.3">
      <c r="B112">
        <v>80</v>
      </c>
      <c r="C112">
        <v>9187.7652558776517</v>
      </c>
      <c r="E112">
        <v>80</v>
      </c>
      <c r="F112">
        <v>71360.792884273134</v>
      </c>
      <c r="H112">
        <v>80</v>
      </c>
      <c r="I112">
        <v>11400.438155171709</v>
      </c>
      <c r="K112">
        <v>80</v>
      </c>
      <c r="L112">
        <v>17050.513828538904</v>
      </c>
    </row>
    <row r="113" spans="2:12" x14ac:dyDescent="0.3">
      <c r="B113">
        <v>81</v>
      </c>
      <c r="C113">
        <v>10915.371484782805</v>
      </c>
      <c r="E113">
        <v>81</v>
      </c>
      <c r="F113">
        <v>67217.343318460087</v>
      </c>
      <c r="H113">
        <v>81</v>
      </c>
      <c r="I113">
        <v>20862.271109916299</v>
      </c>
      <c r="K113">
        <v>81</v>
      </c>
      <c r="L113">
        <v>27064.354431886226</v>
      </c>
    </row>
    <row r="114" spans="2:12" x14ac:dyDescent="0.3">
      <c r="B114">
        <v>82</v>
      </c>
      <c r="C114">
        <v>6507.0029375872073</v>
      </c>
      <c r="E114">
        <v>82</v>
      </c>
      <c r="F114">
        <v>67708.246062571779</v>
      </c>
      <c r="H114">
        <v>82</v>
      </c>
      <c r="I114">
        <v>11186.747064201427</v>
      </c>
      <c r="K114">
        <v>82</v>
      </c>
      <c r="L114">
        <v>19291.016548861633</v>
      </c>
    </row>
    <row r="115" spans="2:12" x14ac:dyDescent="0.3">
      <c r="B115">
        <v>83</v>
      </c>
      <c r="C115">
        <v>10903.541197065981</v>
      </c>
      <c r="E115">
        <v>83</v>
      </c>
      <c r="F115">
        <v>72894.191468871606</v>
      </c>
      <c r="H115">
        <v>83</v>
      </c>
      <c r="I115">
        <v>11973.399670927398</v>
      </c>
      <c r="K115">
        <v>83</v>
      </c>
      <c r="L115">
        <v>15308.582811864258</v>
      </c>
    </row>
    <row r="116" spans="2:12" x14ac:dyDescent="0.3">
      <c r="B116">
        <v>84</v>
      </c>
      <c r="C116">
        <v>7504.7790183402713</v>
      </c>
      <c r="E116">
        <v>84</v>
      </c>
      <c r="F116">
        <v>75157.620138034428</v>
      </c>
      <c r="H116">
        <v>84</v>
      </c>
      <c r="I116">
        <v>19195.387681204513</v>
      </c>
      <c r="K116">
        <v>84</v>
      </c>
      <c r="L116">
        <v>23322.954631765358</v>
      </c>
    </row>
    <row r="117" spans="2:12" x14ac:dyDescent="0.3">
      <c r="B117">
        <v>85</v>
      </c>
      <c r="C117">
        <v>11341.31579410304</v>
      </c>
      <c r="E117">
        <v>85</v>
      </c>
      <c r="F117">
        <v>76806.212835052371</v>
      </c>
      <c r="H117">
        <v>85</v>
      </c>
      <c r="I117">
        <v>13429.136546032631</v>
      </c>
      <c r="K117">
        <v>85</v>
      </c>
      <c r="L117">
        <v>12630.702731430738</v>
      </c>
    </row>
    <row r="118" spans="2:12" x14ac:dyDescent="0.3">
      <c r="B118">
        <v>86</v>
      </c>
      <c r="C118">
        <v>8119.4886869845186</v>
      </c>
      <c r="E118">
        <v>86</v>
      </c>
      <c r="F118">
        <v>76670.836366157586</v>
      </c>
      <c r="H118">
        <v>86</v>
      </c>
      <c r="I118">
        <v>5306.6505044909254</v>
      </c>
      <c r="K118">
        <v>86</v>
      </c>
      <c r="L118">
        <v>15817.122288531109</v>
      </c>
    </row>
    <row r="119" spans="2:12" x14ac:dyDescent="0.3">
      <c r="B119">
        <v>87</v>
      </c>
      <c r="C119">
        <v>10958.778061870737</v>
      </c>
      <c r="E119">
        <v>87</v>
      </c>
      <c r="F119">
        <v>74647.101520513068</v>
      </c>
      <c r="H119">
        <v>87</v>
      </c>
      <c r="I119">
        <v>15446.573379225783</v>
      </c>
      <c r="K119">
        <v>87</v>
      </c>
      <c r="L119">
        <v>20294.262039334913</v>
      </c>
    </row>
    <row r="120" spans="2:12" x14ac:dyDescent="0.3">
      <c r="B120">
        <v>88</v>
      </c>
      <c r="C120">
        <v>8227.3278706825768</v>
      </c>
      <c r="E120">
        <v>88</v>
      </c>
      <c r="F120">
        <v>72859.551809690282</v>
      </c>
      <c r="H120">
        <v>88</v>
      </c>
      <c r="I120">
        <v>11444.954587242004</v>
      </c>
      <c r="K120">
        <v>88</v>
      </c>
      <c r="L120">
        <v>23277.128847285465</v>
      </c>
    </row>
    <row r="121" spans="2:12" x14ac:dyDescent="0.3">
      <c r="B121">
        <v>89</v>
      </c>
      <c r="C121">
        <v>6869.8373618653459</v>
      </c>
      <c r="E121">
        <v>89</v>
      </c>
      <c r="F121">
        <v>74138.423470812297</v>
      </c>
      <c r="H121">
        <v>89</v>
      </c>
      <c r="I121">
        <v>18070.551696383736</v>
      </c>
      <c r="K121">
        <v>89</v>
      </c>
      <c r="L121">
        <v>19251.83258472327</v>
      </c>
    </row>
    <row r="122" spans="2:12" x14ac:dyDescent="0.3">
      <c r="B122">
        <v>90</v>
      </c>
      <c r="C122">
        <v>12605.90356577362</v>
      </c>
      <c r="E122">
        <v>90</v>
      </c>
      <c r="F122">
        <v>70195.928429389925</v>
      </c>
      <c r="H122">
        <v>90</v>
      </c>
      <c r="I122">
        <v>18303.762397976763</v>
      </c>
      <c r="K122">
        <v>90</v>
      </c>
      <c r="L122">
        <v>24058.976934355112</v>
      </c>
    </row>
    <row r="123" spans="2:12" x14ac:dyDescent="0.3">
      <c r="B123">
        <v>91</v>
      </c>
      <c r="C123">
        <v>5831.6302811222167</v>
      </c>
      <c r="E123">
        <v>91</v>
      </c>
      <c r="F123">
        <v>72178.039490331881</v>
      </c>
      <c r="H123">
        <v>91</v>
      </c>
      <c r="I123">
        <v>12202.321156943126</v>
      </c>
      <c r="K123">
        <v>91</v>
      </c>
      <c r="L123">
        <v>19509.21859619395</v>
      </c>
    </row>
    <row r="124" spans="2:12" x14ac:dyDescent="0.3">
      <c r="B124">
        <v>92</v>
      </c>
      <c r="C124">
        <v>5454.5559929131277</v>
      </c>
      <c r="E124">
        <v>92</v>
      </c>
      <c r="F124">
        <v>72402.189023070299</v>
      </c>
      <c r="H124">
        <v>92</v>
      </c>
      <c r="I124">
        <v>11153.309805857576</v>
      </c>
      <c r="K124">
        <v>92</v>
      </c>
      <c r="L124">
        <v>19241.089577726681</v>
      </c>
    </row>
    <row r="125" spans="2:12" x14ac:dyDescent="0.3">
      <c r="B125">
        <v>93</v>
      </c>
      <c r="C125">
        <v>6744.0794923902276</v>
      </c>
      <c r="E125">
        <v>93</v>
      </c>
      <c r="F125">
        <v>76179.151234493605</v>
      </c>
      <c r="H125">
        <v>93</v>
      </c>
      <c r="I125">
        <v>4349.2316073837683</v>
      </c>
      <c r="K125">
        <v>93</v>
      </c>
      <c r="L125">
        <v>19635.556102953298</v>
      </c>
    </row>
    <row r="126" spans="2:12" x14ac:dyDescent="0.3">
      <c r="B126">
        <v>94</v>
      </c>
      <c r="C126">
        <v>4995.0216818583058</v>
      </c>
      <c r="E126">
        <v>94</v>
      </c>
      <c r="F126">
        <v>75982.912009607564</v>
      </c>
      <c r="H126">
        <v>94</v>
      </c>
      <c r="I126">
        <v>10134.832153281539</v>
      </c>
      <c r="K126">
        <v>94</v>
      </c>
      <c r="L126">
        <v>20098.782962134392</v>
      </c>
    </row>
    <row r="127" spans="2:12" x14ac:dyDescent="0.3">
      <c r="B127">
        <v>95</v>
      </c>
      <c r="C127">
        <v>1812.1875689406484</v>
      </c>
      <c r="E127">
        <v>95</v>
      </c>
      <c r="F127">
        <v>63816.523907825365</v>
      </c>
      <c r="H127">
        <v>95</v>
      </c>
      <c r="I127">
        <v>7264.192118907622</v>
      </c>
      <c r="K127">
        <v>95</v>
      </c>
      <c r="L127">
        <v>16191.125611958705</v>
      </c>
    </row>
    <row r="128" spans="2:12" x14ac:dyDescent="0.3">
      <c r="B128">
        <v>96</v>
      </c>
      <c r="C128">
        <v>8644.6531651304285</v>
      </c>
      <c r="E128">
        <v>96</v>
      </c>
      <c r="F128">
        <v>65232.664920275281</v>
      </c>
      <c r="H128">
        <v>96</v>
      </c>
      <c r="I128">
        <v>11696.600963582921</v>
      </c>
      <c r="K128">
        <v>96</v>
      </c>
      <c r="L128">
        <v>14139.472449185609</v>
      </c>
    </row>
    <row r="129" spans="2:12" x14ac:dyDescent="0.3">
      <c r="B129">
        <v>97</v>
      </c>
      <c r="C129">
        <v>6818.6137923248671</v>
      </c>
      <c r="E129">
        <v>97</v>
      </c>
      <c r="F129">
        <v>72627.756201523691</v>
      </c>
      <c r="H129">
        <v>97</v>
      </c>
      <c r="I129">
        <v>3404.5923927873068</v>
      </c>
      <c r="K129">
        <v>97</v>
      </c>
      <c r="L129">
        <v>23812.516431298911</v>
      </c>
    </row>
    <row r="130" spans="2:12" x14ac:dyDescent="0.3">
      <c r="B130">
        <v>98</v>
      </c>
      <c r="C130">
        <v>2842.1676545691198</v>
      </c>
      <c r="E130">
        <v>98</v>
      </c>
      <c r="F130">
        <v>65825.144481939686</v>
      </c>
      <c r="H130">
        <v>98</v>
      </c>
      <c r="I130">
        <v>14888.792975841385</v>
      </c>
      <c r="K130">
        <v>98</v>
      </c>
      <c r="L130">
        <v>19735.09079806093</v>
      </c>
    </row>
    <row r="131" spans="2:12" x14ac:dyDescent="0.3">
      <c r="B131">
        <v>99</v>
      </c>
      <c r="C131">
        <v>9865.7192271473486</v>
      </c>
      <c r="E131">
        <v>99</v>
      </c>
      <c r="F131">
        <v>70418.484733665231</v>
      </c>
      <c r="H131">
        <v>99</v>
      </c>
      <c r="I131">
        <v>14130.017550220356</v>
      </c>
      <c r="K131">
        <v>99</v>
      </c>
      <c r="L131">
        <v>10691.890343168128</v>
      </c>
    </row>
    <row r="132" spans="2:12" x14ac:dyDescent="0.3">
      <c r="B132">
        <v>100</v>
      </c>
      <c r="C132">
        <v>11608.381750575625</v>
      </c>
      <c r="E132">
        <v>100</v>
      </c>
      <c r="F132">
        <v>69715.227757055341</v>
      </c>
      <c r="H132">
        <v>100</v>
      </c>
      <c r="I132">
        <v>13413.449696862124</v>
      </c>
      <c r="K132">
        <v>100</v>
      </c>
      <c r="L132">
        <v>17053.104299010382</v>
      </c>
    </row>
    <row r="133" spans="2:12" x14ac:dyDescent="0.3">
      <c r="B133">
        <v>101</v>
      </c>
      <c r="C133">
        <v>7463.0419776916706</v>
      </c>
      <c r="E133">
        <v>101</v>
      </c>
      <c r="F133">
        <v>73477.452761468594</v>
      </c>
      <c r="H133">
        <v>101</v>
      </c>
      <c r="I133">
        <v>17070.628445394592</v>
      </c>
      <c r="K133">
        <v>101</v>
      </c>
      <c r="L133">
        <v>16882.864964143399</v>
      </c>
    </row>
    <row r="134" spans="2:12" x14ac:dyDescent="0.3">
      <c r="B134">
        <v>102</v>
      </c>
      <c r="C134">
        <v>9026.5687251046766</v>
      </c>
      <c r="E134">
        <v>102</v>
      </c>
      <c r="F134">
        <v>73785.049769043064</v>
      </c>
      <c r="H134">
        <v>102</v>
      </c>
      <c r="I134">
        <v>12206.113862419705</v>
      </c>
      <c r="K134">
        <v>102</v>
      </c>
      <c r="L134">
        <v>24300.710605857908</v>
      </c>
    </row>
    <row r="135" spans="2:12" x14ac:dyDescent="0.3">
      <c r="B135">
        <v>103</v>
      </c>
      <c r="C135">
        <v>4877.0258048946444</v>
      </c>
      <c r="E135">
        <v>103</v>
      </c>
      <c r="F135">
        <v>70289.451462455094</v>
      </c>
      <c r="H135">
        <v>103</v>
      </c>
      <c r="I135">
        <v>12363.590048014736</v>
      </c>
      <c r="K135">
        <v>103</v>
      </c>
      <c r="L135">
        <v>20305.231911706251</v>
      </c>
    </row>
    <row r="136" spans="2:12" x14ac:dyDescent="0.3">
      <c r="B136">
        <v>104</v>
      </c>
      <c r="C136">
        <v>7038.8535869528923</v>
      </c>
      <c r="E136">
        <v>104</v>
      </c>
      <c r="F136">
        <v>73190.630632172659</v>
      </c>
      <c r="H136">
        <v>104</v>
      </c>
      <c r="I136">
        <v>13641.73435650295</v>
      </c>
      <c r="K136">
        <v>104</v>
      </c>
      <c r="L136">
        <v>23307.98800706007</v>
      </c>
    </row>
    <row r="137" spans="2:12" x14ac:dyDescent="0.3">
      <c r="B137">
        <v>105</v>
      </c>
      <c r="C137">
        <v>2767.2229287021273</v>
      </c>
      <c r="E137">
        <v>105</v>
      </c>
      <c r="F137">
        <v>70405.922895034266</v>
      </c>
      <c r="H137">
        <v>105</v>
      </c>
      <c r="I137">
        <v>12263.934453082775</v>
      </c>
      <c r="K137">
        <v>105</v>
      </c>
      <c r="L137">
        <v>19371.453144289564</v>
      </c>
    </row>
    <row r="138" spans="2:12" x14ac:dyDescent="0.3">
      <c r="B138">
        <v>106</v>
      </c>
      <c r="C138">
        <v>9305.5008260602335</v>
      </c>
      <c r="E138">
        <v>106</v>
      </c>
      <c r="F138">
        <v>71810.276176845684</v>
      </c>
      <c r="H138">
        <v>106</v>
      </c>
      <c r="I138">
        <v>16040.030355752442</v>
      </c>
      <c r="K138">
        <v>106</v>
      </c>
      <c r="L138">
        <v>20969.855826809908</v>
      </c>
    </row>
    <row r="139" spans="2:12" x14ac:dyDescent="0.3">
      <c r="B139">
        <v>107</v>
      </c>
      <c r="C139">
        <v>6434.671474391761</v>
      </c>
      <c r="E139">
        <v>107</v>
      </c>
      <c r="F139">
        <v>66372.788052065298</v>
      </c>
      <c r="H139">
        <v>107</v>
      </c>
      <c r="I139">
        <v>12961.100606729247</v>
      </c>
      <c r="K139">
        <v>107</v>
      </c>
      <c r="L139">
        <v>28076.818190396625</v>
      </c>
    </row>
    <row r="140" spans="2:12" x14ac:dyDescent="0.3">
      <c r="B140">
        <v>108</v>
      </c>
      <c r="C140">
        <v>5798.049024121181</v>
      </c>
      <c r="E140">
        <v>108</v>
      </c>
      <c r="F140">
        <v>74677.137144665685</v>
      </c>
      <c r="H140">
        <v>108</v>
      </c>
      <c r="I140">
        <v>9168.4306013974601</v>
      </c>
      <c r="K140">
        <v>108</v>
      </c>
      <c r="L140">
        <v>14904.565747007246</v>
      </c>
    </row>
    <row r="141" spans="2:12" x14ac:dyDescent="0.3">
      <c r="B141">
        <v>109</v>
      </c>
      <c r="C141">
        <v>5478.3308256170358</v>
      </c>
      <c r="E141">
        <v>109</v>
      </c>
      <c r="F141">
        <v>73424.434801746815</v>
      </c>
      <c r="H141">
        <v>109</v>
      </c>
      <c r="I141">
        <v>19826.429678318458</v>
      </c>
      <c r="K141">
        <v>109</v>
      </c>
      <c r="L141">
        <v>22788.221601180048</v>
      </c>
    </row>
    <row r="142" spans="2:12" x14ac:dyDescent="0.3">
      <c r="B142">
        <v>110</v>
      </c>
      <c r="C142">
        <v>11123.620522450339</v>
      </c>
      <c r="E142">
        <v>110</v>
      </c>
      <c r="F142">
        <v>63236.569428892748</v>
      </c>
      <c r="H142">
        <v>110</v>
      </c>
      <c r="I142">
        <v>16208.245048185412</v>
      </c>
      <c r="K142">
        <v>110</v>
      </c>
      <c r="L142">
        <v>10159.532910243708</v>
      </c>
    </row>
    <row r="143" spans="2:12" x14ac:dyDescent="0.3">
      <c r="B143">
        <v>111</v>
      </c>
      <c r="C143">
        <v>5032.5099909944747</v>
      </c>
      <c r="E143">
        <v>111</v>
      </c>
      <c r="F143">
        <v>77394.432244338677</v>
      </c>
      <c r="H143">
        <v>111</v>
      </c>
      <c r="I143">
        <v>14475.046597595994</v>
      </c>
      <c r="K143">
        <v>111</v>
      </c>
      <c r="L143">
        <v>19770.113210345291</v>
      </c>
    </row>
    <row r="144" spans="2:12" x14ac:dyDescent="0.3">
      <c r="B144">
        <v>112</v>
      </c>
      <c r="C144">
        <v>5555.2660617376259</v>
      </c>
      <c r="E144">
        <v>112</v>
      </c>
      <c r="F144">
        <v>76426.02145789373</v>
      </c>
      <c r="H144">
        <v>112</v>
      </c>
      <c r="I144">
        <v>15359.146687371043</v>
      </c>
      <c r="K144">
        <v>112</v>
      </c>
      <c r="L144">
        <v>21440.155953591908</v>
      </c>
    </row>
    <row r="145" spans="2:12" x14ac:dyDescent="0.3">
      <c r="B145">
        <v>113</v>
      </c>
      <c r="C145">
        <v>3408.3139560435434</v>
      </c>
      <c r="E145">
        <v>113</v>
      </c>
      <c r="F145">
        <v>70673.417135449083</v>
      </c>
      <c r="H145">
        <v>113</v>
      </c>
      <c r="I145">
        <v>15313.843940262448</v>
      </c>
      <c r="K145">
        <v>113</v>
      </c>
      <c r="L145">
        <v>15325.803827237081</v>
      </c>
    </row>
    <row r="146" spans="2:12" x14ac:dyDescent="0.3">
      <c r="B146">
        <v>114</v>
      </c>
      <c r="C146">
        <v>8600.6235976044445</v>
      </c>
      <c r="E146">
        <v>114</v>
      </c>
      <c r="F146">
        <v>71724.736564191684</v>
      </c>
      <c r="H146">
        <v>114</v>
      </c>
      <c r="I146">
        <v>12502.578045589413</v>
      </c>
      <c r="K146">
        <v>114</v>
      </c>
      <c r="L146">
        <v>20014.839263412141</v>
      </c>
    </row>
    <row r="147" spans="2:12" x14ac:dyDescent="0.3">
      <c r="B147">
        <v>115</v>
      </c>
      <c r="C147">
        <v>7854.7529466818478</v>
      </c>
      <c r="E147">
        <v>115</v>
      </c>
      <c r="F147">
        <v>70159.954749354773</v>
      </c>
      <c r="H147">
        <v>115</v>
      </c>
      <c r="I147">
        <v>21380.949470790452</v>
      </c>
      <c r="K147">
        <v>115</v>
      </c>
      <c r="L147">
        <v>19314.69121996568</v>
      </c>
    </row>
    <row r="148" spans="2:12" x14ac:dyDescent="0.3">
      <c r="B148">
        <v>116</v>
      </c>
      <c r="C148">
        <v>1587.0586120575513</v>
      </c>
      <c r="E148">
        <v>116</v>
      </c>
      <c r="F148">
        <v>65421.714741980635</v>
      </c>
      <c r="H148">
        <v>116</v>
      </c>
      <c r="I148">
        <v>22237.76719145889</v>
      </c>
      <c r="K148">
        <v>116</v>
      </c>
      <c r="L148">
        <v>5897.756858094036</v>
      </c>
    </row>
    <row r="149" spans="2:12" x14ac:dyDescent="0.3">
      <c r="B149">
        <v>117</v>
      </c>
      <c r="C149">
        <v>6443.713093854416</v>
      </c>
      <c r="E149">
        <v>117</v>
      </c>
      <c r="F149">
        <v>75323.497356915919</v>
      </c>
      <c r="H149">
        <v>117</v>
      </c>
      <c r="I149">
        <v>9272.4634648974916</v>
      </c>
      <c r="K149">
        <v>117</v>
      </c>
      <c r="L149">
        <v>18981.698682846443</v>
      </c>
    </row>
    <row r="150" spans="2:12" x14ac:dyDescent="0.3">
      <c r="B150">
        <v>118</v>
      </c>
      <c r="C150">
        <v>7321.6787767205296</v>
      </c>
      <c r="E150">
        <v>118</v>
      </c>
      <c r="F150">
        <v>77523.696991000543</v>
      </c>
      <c r="H150">
        <v>118</v>
      </c>
      <c r="I150">
        <v>10308.688311877693</v>
      </c>
      <c r="K150">
        <v>118</v>
      </c>
      <c r="L150">
        <v>20487.899219133033</v>
      </c>
    </row>
    <row r="151" spans="2:12" x14ac:dyDescent="0.3">
      <c r="B151">
        <v>119</v>
      </c>
      <c r="C151">
        <v>5402.2509578511072</v>
      </c>
      <c r="E151">
        <v>119</v>
      </c>
      <c r="F151">
        <v>72300.05658776185</v>
      </c>
      <c r="H151">
        <v>119</v>
      </c>
      <c r="I151">
        <v>11354.524857221379</v>
      </c>
      <c r="K151">
        <v>119</v>
      </c>
      <c r="L151">
        <v>3849.888210939263</v>
      </c>
    </row>
    <row r="152" spans="2:12" x14ac:dyDescent="0.3">
      <c r="B152">
        <v>120</v>
      </c>
      <c r="C152">
        <v>7775.7379087676281</v>
      </c>
      <c r="E152">
        <v>120</v>
      </c>
      <c r="F152">
        <v>75631.143965237512</v>
      </c>
      <c r="H152">
        <v>120</v>
      </c>
      <c r="I152">
        <v>5824.3677483404799</v>
      </c>
      <c r="K152">
        <v>120</v>
      </c>
      <c r="L152">
        <v>12223.509889690382</v>
      </c>
    </row>
    <row r="153" spans="2:12" x14ac:dyDescent="0.3">
      <c r="B153">
        <v>121</v>
      </c>
      <c r="C153">
        <v>8577.5997324554992</v>
      </c>
      <c r="E153">
        <v>121</v>
      </c>
      <c r="F153">
        <v>76135.491555961402</v>
      </c>
      <c r="H153">
        <v>121</v>
      </c>
      <c r="I153">
        <v>10099.914892715831</v>
      </c>
      <c r="K153">
        <v>121</v>
      </c>
      <c r="L153">
        <v>15948.004069886802</v>
      </c>
    </row>
    <row r="154" spans="2:12" x14ac:dyDescent="0.3">
      <c r="B154">
        <v>122</v>
      </c>
      <c r="C154">
        <v>1796.7507731473868</v>
      </c>
      <c r="E154">
        <v>122</v>
      </c>
      <c r="F154">
        <v>70993.224080245913</v>
      </c>
      <c r="H154">
        <v>122</v>
      </c>
      <c r="I154">
        <v>11987.129539520911</v>
      </c>
      <c r="K154">
        <v>122</v>
      </c>
      <c r="L154">
        <v>12868.730081280939</v>
      </c>
    </row>
    <row r="155" spans="2:12" x14ac:dyDescent="0.3">
      <c r="B155">
        <v>123</v>
      </c>
      <c r="C155">
        <v>6193.1225590913309</v>
      </c>
      <c r="E155">
        <v>123</v>
      </c>
      <c r="F155">
        <v>77484.598759981222</v>
      </c>
      <c r="H155">
        <v>123</v>
      </c>
      <c r="I155">
        <v>10448.592507915271</v>
      </c>
      <c r="K155">
        <v>123</v>
      </c>
      <c r="L155">
        <v>13660.746396282451</v>
      </c>
    </row>
    <row r="156" spans="2:12" x14ac:dyDescent="0.3">
      <c r="B156">
        <v>124</v>
      </c>
      <c r="C156">
        <v>7977.6747205510956</v>
      </c>
      <c r="E156">
        <v>124</v>
      </c>
      <c r="F156">
        <v>70883.559958422353</v>
      </c>
      <c r="H156">
        <v>124</v>
      </c>
      <c r="I156">
        <v>11245.738206426537</v>
      </c>
      <c r="K156">
        <v>124</v>
      </c>
      <c r="L156">
        <v>14813.56225244186</v>
      </c>
    </row>
    <row r="157" spans="2:12" x14ac:dyDescent="0.3">
      <c r="B157">
        <v>125</v>
      </c>
      <c r="C157">
        <v>8906.7645213208471</v>
      </c>
      <c r="E157">
        <v>125</v>
      </c>
      <c r="F157">
        <v>70611.065674876969</v>
      </c>
      <c r="H157">
        <v>125</v>
      </c>
      <c r="I157">
        <v>9235.6048149301296</v>
      </c>
      <c r="K157">
        <v>125</v>
      </c>
      <c r="L157">
        <v>25049.459493579201</v>
      </c>
    </row>
    <row r="158" spans="2:12" x14ac:dyDescent="0.3">
      <c r="B158">
        <v>126</v>
      </c>
      <c r="C158">
        <v>1250.0913860064836</v>
      </c>
      <c r="E158">
        <v>126</v>
      </c>
      <c r="F158">
        <v>76911.340095410909</v>
      </c>
      <c r="H158">
        <v>126</v>
      </c>
      <c r="I158">
        <v>8042.5020808585787</v>
      </c>
      <c r="K158">
        <v>126</v>
      </c>
      <c r="L158">
        <v>19932.402800369611</v>
      </c>
    </row>
    <row r="159" spans="2:12" x14ac:dyDescent="0.3">
      <c r="B159">
        <v>127</v>
      </c>
      <c r="C159">
        <v>10673.425054226953</v>
      </c>
      <c r="E159">
        <v>127</v>
      </c>
      <c r="F159">
        <v>65743.372691348108</v>
      </c>
      <c r="H159">
        <v>127</v>
      </c>
      <c r="I159">
        <v>10872.756217854676</v>
      </c>
      <c r="K159">
        <v>127</v>
      </c>
      <c r="L159">
        <v>15643.671861725705</v>
      </c>
    </row>
    <row r="160" spans="2:12" x14ac:dyDescent="0.3">
      <c r="B160">
        <v>128</v>
      </c>
      <c r="C160">
        <v>6225.7612397703624</v>
      </c>
      <c r="E160">
        <v>128</v>
      </c>
      <c r="F160">
        <v>68788.055712142756</v>
      </c>
      <c r="H160">
        <v>128</v>
      </c>
      <c r="I160">
        <v>20263.633723301427</v>
      </c>
      <c r="K160">
        <v>128</v>
      </c>
      <c r="L160">
        <v>17203.300973974285</v>
      </c>
    </row>
    <row r="161" spans="2:12" x14ac:dyDescent="0.3">
      <c r="B161">
        <v>129</v>
      </c>
      <c r="C161">
        <v>6288.3490232938411</v>
      </c>
      <c r="E161">
        <v>129</v>
      </c>
      <c r="F161">
        <v>71340.06073152629</v>
      </c>
      <c r="H161">
        <v>129</v>
      </c>
      <c r="I161">
        <v>11894.12422665578</v>
      </c>
      <c r="K161">
        <v>129</v>
      </c>
      <c r="L161">
        <v>26698.794571203041</v>
      </c>
    </row>
    <row r="162" spans="2:12" x14ac:dyDescent="0.3">
      <c r="B162">
        <v>130</v>
      </c>
      <c r="C162">
        <v>9209.1150121508308</v>
      </c>
      <c r="E162">
        <v>130</v>
      </c>
      <c r="F162">
        <v>68182.19844210094</v>
      </c>
      <c r="H162">
        <v>130</v>
      </c>
      <c r="I162">
        <v>19289.242297620629</v>
      </c>
      <c r="K162">
        <v>130</v>
      </c>
      <c r="L162">
        <v>22485.631197117229</v>
      </c>
    </row>
    <row r="163" spans="2:12" x14ac:dyDescent="0.3">
      <c r="B163">
        <v>131</v>
      </c>
      <c r="C163">
        <v>7071.5159392540281</v>
      </c>
      <c r="E163">
        <v>131</v>
      </c>
      <c r="F163">
        <v>67271.048189588502</v>
      </c>
      <c r="H163">
        <v>131</v>
      </c>
      <c r="I163">
        <v>12662.979244681354</v>
      </c>
      <c r="K163">
        <v>131</v>
      </c>
      <c r="L163">
        <v>20551.61116024341</v>
      </c>
    </row>
    <row r="164" spans="2:12" x14ac:dyDescent="0.3">
      <c r="B164">
        <v>132</v>
      </c>
      <c r="C164">
        <v>7999.7356733500992</v>
      </c>
      <c r="E164">
        <v>132</v>
      </c>
      <c r="F164">
        <v>72920.143116205014</v>
      </c>
      <c r="H164">
        <v>132</v>
      </c>
      <c r="I164">
        <v>21555.12022493752</v>
      </c>
      <c r="K164">
        <v>132</v>
      </c>
      <c r="L164">
        <v>22496.883872906299</v>
      </c>
    </row>
    <row r="165" spans="2:12" x14ac:dyDescent="0.3">
      <c r="B165">
        <v>133</v>
      </c>
      <c r="C165">
        <v>4375.8965807986842</v>
      </c>
      <c r="E165">
        <v>133</v>
      </c>
      <c r="F165">
        <v>75223.552051907973</v>
      </c>
      <c r="H165">
        <v>133</v>
      </c>
      <c r="I165">
        <v>9135.890026773357</v>
      </c>
      <c r="K165">
        <v>133</v>
      </c>
      <c r="L165">
        <v>15932.930631684378</v>
      </c>
    </row>
    <row r="166" spans="2:12" x14ac:dyDescent="0.3">
      <c r="B166">
        <v>134</v>
      </c>
      <c r="C166">
        <v>6231.0905189368214</v>
      </c>
      <c r="E166">
        <v>134</v>
      </c>
      <c r="F166">
        <v>68033.526174470448</v>
      </c>
      <c r="H166">
        <v>134</v>
      </c>
      <c r="I166">
        <v>13927.23249617241</v>
      </c>
      <c r="K166">
        <v>134</v>
      </c>
      <c r="L166">
        <v>14459.075023129082</v>
      </c>
    </row>
    <row r="167" spans="2:12" x14ac:dyDescent="0.3">
      <c r="B167">
        <v>135</v>
      </c>
      <c r="C167">
        <v>9484.0253968078832</v>
      </c>
      <c r="E167">
        <v>135</v>
      </c>
      <c r="F167">
        <v>71945.834757868754</v>
      </c>
      <c r="H167">
        <v>135</v>
      </c>
      <c r="I167">
        <v>8396.4461394895061</v>
      </c>
      <c r="K167">
        <v>135</v>
      </c>
      <c r="L167">
        <v>21922.063235207468</v>
      </c>
    </row>
    <row r="168" spans="2:12" x14ac:dyDescent="0.3">
      <c r="B168">
        <v>136</v>
      </c>
      <c r="C168">
        <v>5987.8431981472304</v>
      </c>
      <c r="E168">
        <v>136</v>
      </c>
      <c r="F168">
        <v>76365.617699453738</v>
      </c>
      <c r="H168">
        <v>136</v>
      </c>
      <c r="I168">
        <v>11411.591029341216</v>
      </c>
      <c r="K168">
        <v>136</v>
      </c>
      <c r="L168">
        <v>24478.29048153929</v>
      </c>
    </row>
    <row r="169" spans="2:12" x14ac:dyDescent="0.3">
      <c r="B169">
        <v>137</v>
      </c>
      <c r="C169">
        <v>4097.1689645524284</v>
      </c>
      <c r="E169">
        <v>137</v>
      </c>
      <c r="F169">
        <v>74537.737063996072</v>
      </c>
      <c r="H169">
        <v>137</v>
      </c>
      <c r="I169">
        <v>17467.925419703828</v>
      </c>
      <c r="K169">
        <v>137</v>
      </c>
      <c r="L169">
        <v>24627.086204457839</v>
      </c>
    </row>
    <row r="170" spans="2:12" x14ac:dyDescent="0.3">
      <c r="B170">
        <v>138</v>
      </c>
      <c r="C170">
        <v>9933.279072160436</v>
      </c>
      <c r="E170">
        <v>138</v>
      </c>
      <c r="F170">
        <v>75539.640192336752</v>
      </c>
      <c r="H170">
        <v>138</v>
      </c>
      <c r="I170">
        <v>18043.705139752587</v>
      </c>
      <c r="K170">
        <v>138</v>
      </c>
      <c r="L170">
        <v>22093.227076581425</v>
      </c>
    </row>
    <row r="171" spans="2:12" x14ac:dyDescent="0.3">
      <c r="B171">
        <v>139</v>
      </c>
      <c r="C171">
        <v>5387.1958088418205</v>
      </c>
      <c r="E171">
        <v>139</v>
      </c>
      <c r="F171">
        <v>70786.630409527963</v>
      </c>
      <c r="H171">
        <v>139</v>
      </c>
      <c r="I171">
        <v>16938.517777531797</v>
      </c>
      <c r="K171">
        <v>139</v>
      </c>
      <c r="L171">
        <v>29451.427876262918</v>
      </c>
    </row>
    <row r="172" spans="2:12" x14ac:dyDescent="0.3">
      <c r="B172">
        <v>140</v>
      </c>
      <c r="C172">
        <v>8946.719974319647</v>
      </c>
      <c r="E172">
        <v>140</v>
      </c>
      <c r="F172">
        <v>71056.80671877398</v>
      </c>
      <c r="H172">
        <v>140</v>
      </c>
      <c r="I172">
        <v>12241.648664019787</v>
      </c>
      <c r="K172">
        <v>140</v>
      </c>
      <c r="L172">
        <v>5485.9387833669653</v>
      </c>
    </row>
    <row r="173" spans="2:12" x14ac:dyDescent="0.3">
      <c r="B173">
        <v>141</v>
      </c>
      <c r="C173">
        <v>6500.3319629859907</v>
      </c>
      <c r="E173">
        <v>141</v>
      </c>
      <c r="F173">
        <v>64369.676075840085</v>
      </c>
      <c r="H173">
        <v>141</v>
      </c>
      <c r="I173">
        <v>21324.891368934004</v>
      </c>
      <c r="K173">
        <v>141</v>
      </c>
      <c r="L173">
        <v>5010.9852977148521</v>
      </c>
    </row>
    <row r="174" spans="2:12" x14ac:dyDescent="0.3">
      <c r="B174">
        <v>142</v>
      </c>
      <c r="C174">
        <v>2078.8404664309105</v>
      </c>
      <c r="E174">
        <v>142</v>
      </c>
      <c r="F174">
        <v>77105.784391447916</v>
      </c>
      <c r="H174">
        <v>142</v>
      </c>
      <c r="I174">
        <v>7726.6936629113388</v>
      </c>
      <c r="K174">
        <v>142</v>
      </c>
      <c r="L174">
        <v>17217.391777145604</v>
      </c>
    </row>
    <row r="175" spans="2:12" x14ac:dyDescent="0.3">
      <c r="B175">
        <v>143</v>
      </c>
      <c r="C175">
        <v>4395.0606645838097</v>
      </c>
      <c r="E175">
        <v>143</v>
      </c>
      <c r="F175">
        <v>68809.770341791795</v>
      </c>
      <c r="H175">
        <v>143</v>
      </c>
      <c r="I175">
        <v>13811.163585139691</v>
      </c>
      <c r="K175">
        <v>143</v>
      </c>
      <c r="L175">
        <v>20660.806800518338</v>
      </c>
    </row>
    <row r="176" spans="2:12" x14ac:dyDescent="0.3">
      <c r="B176">
        <v>144</v>
      </c>
      <c r="C176">
        <v>9680.9858419276134</v>
      </c>
      <c r="E176">
        <v>144</v>
      </c>
      <c r="F176">
        <v>75126.856287431758</v>
      </c>
      <c r="H176">
        <v>144</v>
      </c>
      <c r="I176">
        <v>21908.188652679652</v>
      </c>
      <c r="K176">
        <v>144</v>
      </c>
      <c r="L176">
        <v>9285.350155958211</v>
      </c>
    </row>
    <row r="177" spans="2:12" x14ac:dyDescent="0.3">
      <c r="B177">
        <v>145</v>
      </c>
      <c r="C177">
        <v>5341.2815216662684</v>
      </c>
      <c r="E177">
        <v>145</v>
      </c>
      <c r="F177">
        <v>71198.260375700163</v>
      </c>
      <c r="H177">
        <v>145</v>
      </c>
      <c r="I177">
        <v>18217.362265233394</v>
      </c>
      <c r="K177">
        <v>145</v>
      </c>
      <c r="L177">
        <v>21133.094409667778</v>
      </c>
    </row>
    <row r="178" spans="2:12" x14ac:dyDescent="0.3">
      <c r="B178">
        <v>146</v>
      </c>
      <c r="C178">
        <v>6633.277640281266</v>
      </c>
      <c r="E178">
        <v>146</v>
      </c>
      <c r="F178">
        <v>69444.457981574873</v>
      </c>
      <c r="H178">
        <v>146</v>
      </c>
      <c r="I178">
        <v>18273.410789488116</v>
      </c>
      <c r="K178">
        <v>146</v>
      </c>
      <c r="L178">
        <v>18175.368305896358</v>
      </c>
    </row>
    <row r="179" spans="2:12" x14ac:dyDescent="0.3">
      <c r="B179">
        <v>147</v>
      </c>
      <c r="C179">
        <v>8223.541876849391</v>
      </c>
      <c r="E179">
        <v>147</v>
      </c>
      <c r="F179">
        <v>69621.684920358966</v>
      </c>
      <c r="H179">
        <v>147</v>
      </c>
      <c r="I179">
        <v>18562.404845637859</v>
      </c>
      <c r="K179">
        <v>147</v>
      </c>
      <c r="L179">
        <v>24160.365544944321</v>
      </c>
    </row>
    <row r="180" spans="2:12" x14ac:dyDescent="0.3">
      <c r="B180">
        <v>148</v>
      </c>
      <c r="C180">
        <v>5591.1344359717505</v>
      </c>
      <c r="E180">
        <v>148</v>
      </c>
      <c r="F180">
        <v>70306.011230498902</v>
      </c>
      <c r="H180">
        <v>148</v>
      </c>
      <c r="I180">
        <v>9682.9716622663036</v>
      </c>
      <c r="K180">
        <v>148</v>
      </c>
      <c r="L180">
        <v>8719.643316180578</v>
      </c>
    </row>
    <row r="181" spans="2:12" x14ac:dyDescent="0.3">
      <c r="B181">
        <v>149</v>
      </c>
      <c r="C181">
        <v>6641.1771174225551</v>
      </c>
      <c r="E181">
        <v>149</v>
      </c>
      <c r="F181">
        <v>77875.854520093155</v>
      </c>
      <c r="H181">
        <v>149</v>
      </c>
      <c r="I181">
        <v>1433.8580039347653</v>
      </c>
      <c r="K181">
        <v>149</v>
      </c>
      <c r="L181">
        <v>5688.8347856138234</v>
      </c>
    </row>
    <row r="182" spans="2:12" x14ac:dyDescent="0.3">
      <c r="B182">
        <v>150</v>
      </c>
      <c r="C182">
        <v>4619.530222446715</v>
      </c>
      <c r="E182">
        <v>150</v>
      </c>
      <c r="F182">
        <v>75975.416960210889</v>
      </c>
      <c r="H182">
        <v>150</v>
      </c>
      <c r="I182">
        <v>17736.369376367365</v>
      </c>
      <c r="K182">
        <v>150</v>
      </c>
      <c r="L182">
        <v>22251.025608150736</v>
      </c>
    </row>
    <row r="183" spans="2:12" x14ac:dyDescent="0.3">
      <c r="B183">
        <v>151</v>
      </c>
      <c r="C183">
        <v>7704.5168174384689</v>
      </c>
      <c r="E183">
        <v>151</v>
      </c>
      <c r="F183">
        <v>70882.769304386951</v>
      </c>
      <c r="H183">
        <v>151</v>
      </c>
      <c r="I183">
        <v>5490.9715155264821</v>
      </c>
      <c r="K183">
        <v>151</v>
      </c>
      <c r="L183">
        <v>6944.3832905189738</v>
      </c>
    </row>
    <row r="184" spans="2:12" x14ac:dyDescent="0.3">
      <c r="B184">
        <v>152</v>
      </c>
      <c r="C184">
        <v>9662.959061392874</v>
      </c>
      <c r="E184">
        <v>152</v>
      </c>
      <c r="F184">
        <v>72746.806145795257</v>
      </c>
      <c r="H184">
        <v>152</v>
      </c>
      <c r="I184">
        <v>17850.585208285334</v>
      </c>
      <c r="K184">
        <v>152</v>
      </c>
      <c r="L184">
        <v>15306.289068389728</v>
      </c>
    </row>
    <row r="185" spans="2:12" x14ac:dyDescent="0.3">
      <c r="B185">
        <v>153</v>
      </c>
      <c r="C185">
        <v>7522.7660599336887</v>
      </c>
      <c r="E185">
        <v>153</v>
      </c>
      <c r="F185">
        <v>68338.452420947666</v>
      </c>
      <c r="H185">
        <v>153</v>
      </c>
      <c r="I185">
        <v>20593.005029474909</v>
      </c>
      <c r="K185">
        <v>153</v>
      </c>
      <c r="L185">
        <v>25014.718055685862</v>
      </c>
    </row>
    <row r="186" spans="2:12" x14ac:dyDescent="0.3">
      <c r="B186">
        <v>154</v>
      </c>
      <c r="C186">
        <v>7541.41291583573</v>
      </c>
      <c r="E186">
        <v>154</v>
      </c>
      <c r="F186">
        <v>69462.12039450086</v>
      </c>
      <c r="H186">
        <v>154</v>
      </c>
      <c r="I186">
        <v>13210.648032908373</v>
      </c>
      <c r="K186">
        <v>154</v>
      </c>
      <c r="L186">
        <v>21817.184034730446</v>
      </c>
    </row>
    <row r="187" spans="2:12" x14ac:dyDescent="0.3">
      <c r="B187">
        <v>155</v>
      </c>
      <c r="C187">
        <v>8375.9852651675046</v>
      </c>
      <c r="E187">
        <v>155</v>
      </c>
      <c r="F187">
        <v>69143.075397192268</v>
      </c>
      <c r="H187">
        <v>155</v>
      </c>
      <c r="I187">
        <v>13714.118477654232</v>
      </c>
      <c r="K187">
        <v>155</v>
      </c>
      <c r="L187">
        <v>10558.114627603911</v>
      </c>
    </row>
    <row r="188" spans="2:12" x14ac:dyDescent="0.3">
      <c r="B188">
        <v>156</v>
      </c>
      <c r="C188">
        <v>10509.1803712813</v>
      </c>
      <c r="E188">
        <v>156</v>
      </c>
      <c r="F188">
        <v>74855.805079747093</v>
      </c>
      <c r="H188">
        <v>156</v>
      </c>
      <c r="I188">
        <v>11260.626084364521</v>
      </c>
      <c r="K188">
        <v>156</v>
      </c>
      <c r="L188">
        <v>13460.659583655501</v>
      </c>
    </row>
    <row r="189" spans="2:12" x14ac:dyDescent="0.3">
      <c r="B189">
        <v>157</v>
      </c>
      <c r="C189">
        <v>10713.654403387456</v>
      </c>
      <c r="E189">
        <v>157</v>
      </c>
      <c r="F189">
        <v>64805.530819008673</v>
      </c>
      <c r="H189">
        <v>157</v>
      </c>
      <c r="I189">
        <v>14934.624150899039</v>
      </c>
      <c r="K189">
        <v>157</v>
      </c>
      <c r="L189">
        <v>18976.369245405476</v>
      </c>
    </row>
    <row r="190" spans="2:12" x14ac:dyDescent="0.3">
      <c r="B190">
        <v>158</v>
      </c>
      <c r="C190">
        <v>10962.489976260826</v>
      </c>
      <c r="E190">
        <v>158</v>
      </c>
      <c r="F190">
        <v>78367.637655249331</v>
      </c>
      <c r="H190">
        <v>158</v>
      </c>
      <c r="I190">
        <v>12940.976979696037</v>
      </c>
      <c r="K190">
        <v>158</v>
      </c>
      <c r="L190">
        <v>13578.322856358645</v>
      </c>
    </row>
    <row r="191" spans="2:12" x14ac:dyDescent="0.3">
      <c r="B191">
        <v>159</v>
      </c>
      <c r="C191">
        <v>3900.5125414053477</v>
      </c>
      <c r="E191">
        <v>159</v>
      </c>
      <c r="F191">
        <v>64095.866645027767</v>
      </c>
      <c r="H191">
        <v>159</v>
      </c>
      <c r="I191">
        <v>10398.229273745219</v>
      </c>
      <c r="K191">
        <v>159</v>
      </c>
      <c r="L191">
        <v>17008.719635495687</v>
      </c>
    </row>
    <row r="192" spans="2:12" x14ac:dyDescent="0.3">
      <c r="B192">
        <v>160</v>
      </c>
      <c r="C192">
        <v>5903.3711694527929</v>
      </c>
      <c r="E192">
        <v>160</v>
      </c>
      <c r="F192">
        <v>74705.229302274718</v>
      </c>
      <c r="H192">
        <v>160</v>
      </c>
      <c r="I192">
        <v>10900.143045852355</v>
      </c>
      <c r="K192">
        <v>160</v>
      </c>
      <c r="L192">
        <v>22762.499983754198</v>
      </c>
    </row>
    <row r="193" spans="2:12" x14ac:dyDescent="0.3">
      <c r="B193">
        <v>161</v>
      </c>
      <c r="C193">
        <v>7274.4663218784081</v>
      </c>
      <c r="E193">
        <v>161</v>
      </c>
      <c r="F193">
        <v>73434.650013242121</v>
      </c>
      <c r="H193">
        <v>161</v>
      </c>
      <c r="I193">
        <v>16486.131111944575</v>
      </c>
      <c r="K193">
        <v>161</v>
      </c>
      <c r="L193">
        <v>22973.643732360237</v>
      </c>
    </row>
    <row r="194" spans="2:12" x14ac:dyDescent="0.3">
      <c r="B194">
        <v>162</v>
      </c>
      <c r="C194">
        <v>5881.8671220355936</v>
      </c>
      <c r="E194">
        <v>162</v>
      </c>
      <c r="F194">
        <v>78569.383470968198</v>
      </c>
      <c r="H194">
        <v>162</v>
      </c>
      <c r="I194">
        <v>8568.5647691907907</v>
      </c>
      <c r="K194">
        <v>162</v>
      </c>
      <c r="L194">
        <v>23173.808888165036</v>
      </c>
    </row>
    <row r="195" spans="2:12" x14ac:dyDescent="0.3">
      <c r="B195">
        <v>163</v>
      </c>
      <c r="C195">
        <v>3522.8896553732234</v>
      </c>
      <c r="E195">
        <v>163</v>
      </c>
      <c r="F195">
        <v>69901.544248075254</v>
      </c>
      <c r="H195">
        <v>163</v>
      </c>
      <c r="I195">
        <v>17464.332836272828</v>
      </c>
      <c r="K195">
        <v>163</v>
      </c>
      <c r="L195">
        <v>7442.2286950334355</v>
      </c>
    </row>
    <row r="196" spans="2:12" x14ac:dyDescent="0.3">
      <c r="B196">
        <v>164</v>
      </c>
      <c r="C196">
        <v>3189.2043411336758</v>
      </c>
      <c r="E196">
        <v>164</v>
      </c>
      <c r="F196">
        <v>67265.723242443491</v>
      </c>
      <c r="H196">
        <v>164</v>
      </c>
      <c r="I196">
        <v>11835.707640054656</v>
      </c>
      <c r="K196">
        <v>164</v>
      </c>
      <c r="L196">
        <v>11940.34453255988</v>
      </c>
    </row>
    <row r="197" spans="2:12" x14ac:dyDescent="0.3">
      <c r="B197">
        <v>165</v>
      </c>
      <c r="C197">
        <v>6983.2060213189725</v>
      </c>
      <c r="E197">
        <v>165</v>
      </c>
      <c r="F197">
        <v>66870.76911370836</v>
      </c>
      <c r="H197">
        <v>165</v>
      </c>
      <c r="I197">
        <v>14608.691306893994</v>
      </c>
      <c r="K197">
        <v>165</v>
      </c>
      <c r="L197">
        <v>18707.070121082397</v>
      </c>
    </row>
    <row r="198" spans="2:12" x14ac:dyDescent="0.3">
      <c r="B198">
        <v>166</v>
      </c>
      <c r="C198">
        <v>7999.6488068914514</v>
      </c>
      <c r="E198">
        <v>166</v>
      </c>
      <c r="F198">
        <v>73505.386873864962</v>
      </c>
      <c r="H198">
        <v>166</v>
      </c>
      <c r="I198">
        <v>18652.466118699267</v>
      </c>
      <c r="K198">
        <v>166</v>
      </c>
      <c r="L198">
        <v>27532.530204779257</v>
      </c>
    </row>
    <row r="199" spans="2:12" x14ac:dyDescent="0.3">
      <c r="B199">
        <v>167</v>
      </c>
      <c r="C199">
        <v>10099.823620279985</v>
      </c>
      <c r="E199">
        <v>167</v>
      </c>
      <c r="F199">
        <v>79398.969050504355</v>
      </c>
      <c r="H199">
        <v>167</v>
      </c>
      <c r="I199">
        <v>16301.127530230102</v>
      </c>
      <c r="K199">
        <v>167</v>
      </c>
      <c r="L199">
        <v>13541.83324734183</v>
      </c>
    </row>
    <row r="200" spans="2:12" x14ac:dyDescent="0.3">
      <c r="B200">
        <v>168</v>
      </c>
      <c r="C200">
        <v>2317.269620707174</v>
      </c>
      <c r="E200">
        <v>168</v>
      </c>
      <c r="F200">
        <v>67072.452124296731</v>
      </c>
      <c r="H200">
        <v>168</v>
      </c>
      <c r="I200">
        <v>6930.6934871661069</v>
      </c>
      <c r="K200">
        <v>168</v>
      </c>
      <c r="L200">
        <v>21192.801239898217</v>
      </c>
    </row>
    <row r="201" spans="2:12" x14ac:dyDescent="0.3">
      <c r="B201">
        <v>169</v>
      </c>
      <c r="C201">
        <v>6086.2491552744887</v>
      </c>
      <c r="E201">
        <v>169</v>
      </c>
      <c r="F201">
        <v>71847.963320441893</v>
      </c>
      <c r="H201">
        <v>169</v>
      </c>
      <c r="I201">
        <v>9400.4302644179133</v>
      </c>
      <c r="K201">
        <v>169</v>
      </c>
      <c r="L201">
        <v>23213.915006307896</v>
      </c>
    </row>
    <row r="202" spans="2:12" x14ac:dyDescent="0.3">
      <c r="B202">
        <v>170</v>
      </c>
      <c r="C202">
        <v>7057.4070678233466</v>
      </c>
      <c r="E202">
        <v>170</v>
      </c>
      <c r="F202">
        <v>77112.241451183319</v>
      </c>
      <c r="H202">
        <v>170</v>
      </c>
      <c r="I202">
        <v>17285.457516531082</v>
      </c>
      <c r="K202">
        <v>170</v>
      </c>
      <c r="L202">
        <v>16918.384374483714</v>
      </c>
    </row>
    <row r="203" spans="2:12" x14ac:dyDescent="0.3">
      <c r="B203">
        <v>171</v>
      </c>
      <c r="C203">
        <v>2652.851896407763</v>
      </c>
      <c r="E203">
        <v>171</v>
      </c>
      <c r="F203">
        <v>69220.668741014219</v>
      </c>
      <c r="H203">
        <v>171</v>
      </c>
      <c r="I203">
        <v>17618.572177755927</v>
      </c>
      <c r="K203">
        <v>171</v>
      </c>
      <c r="L203">
        <v>19234.002184688579</v>
      </c>
    </row>
    <row r="204" spans="2:12" x14ac:dyDescent="0.3">
      <c r="B204">
        <v>172</v>
      </c>
      <c r="C204">
        <v>8527.1237731138754</v>
      </c>
      <c r="E204">
        <v>172</v>
      </c>
      <c r="F204">
        <v>75125.856140407865</v>
      </c>
      <c r="H204">
        <v>172</v>
      </c>
      <c r="I204">
        <v>21711.867830204523</v>
      </c>
      <c r="K204">
        <v>172</v>
      </c>
      <c r="L204">
        <v>15760.631019613495</v>
      </c>
    </row>
    <row r="205" spans="2:12" x14ac:dyDescent="0.3">
      <c r="B205">
        <v>173</v>
      </c>
      <c r="C205">
        <v>7860.1369315681222</v>
      </c>
      <c r="E205">
        <v>173</v>
      </c>
      <c r="F205">
        <v>71844.978204052342</v>
      </c>
      <c r="H205">
        <v>173</v>
      </c>
      <c r="I205">
        <v>18775.896629886203</v>
      </c>
      <c r="K205">
        <v>173</v>
      </c>
      <c r="L205">
        <v>18221.525815279139</v>
      </c>
    </row>
    <row r="206" spans="2:12" x14ac:dyDescent="0.3">
      <c r="B206">
        <v>174</v>
      </c>
      <c r="C206">
        <v>2656.1993655893939</v>
      </c>
      <c r="E206">
        <v>174</v>
      </c>
      <c r="F206">
        <v>77419.88624514408</v>
      </c>
      <c r="H206">
        <v>174</v>
      </c>
      <c r="I206">
        <v>17746.190389515486</v>
      </c>
      <c r="K206">
        <v>174</v>
      </c>
      <c r="L206">
        <v>21726.646108381807</v>
      </c>
    </row>
    <row r="207" spans="2:12" x14ac:dyDescent="0.3">
      <c r="B207">
        <v>175</v>
      </c>
      <c r="C207">
        <v>8091.4022388952972</v>
      </c>
      <c r="E207">
        <v>175</v>
      </c>
      <c r="F207">
        <v>72945.876581098986</v>
      </c>
      <c r="H207">
        <v>175</v>
      </c>
      <c r="I207">
        <v>6108.9812146745953</v>
      </c>
      <c r="K207">
        <v>175</v>
      </c>
      <c r="L207">
        <v>22024.667940643601</v>
      </c>
    </row>
    <row r="208" spans="2:12" x14ac:dyDescent="0.3">
      <c r="B208">
        <v>176</v>
      </c>
      <c r="C208">
        <v>6547.6658220926538</v>
      </c>
      <c r="E208">
        <v>176</v>
      </c>
      <c r="F208">
        <v>75674.752309581323</v>
      </c>
      <c r="H208">
        <v>176</v>
      </c>
      <c r="I208">
        <v>11513.746389092747</v>
      </c>
      <c r="K208">
        <v>176</v>
      </c>
      <c r="L208">
        <v>21188.845764889254</v>
      </c>
    </row>
    <row r="209" spans="2:12" x14ac:dyDescent="0.3">
      <c r="B209">
        <v>177</v>
      </c>
      <c r="C209">
        <v>5986.7994557334541</v>
      </c>
      <c r="E209">
        <v>177</v>
      </c>
      <c r="F209">
        <v>72862.122406742608</v>
      </c>
      <c r="H209">
        <v>177</v>
      </c>
      <c r="I209">
        <v>14168.746436752099</v>
      </c>
      <c r="K209">
        <v>177</v>
      </c>
      <c r="L209">
        <v>14548.738851569269</v>
      </c>
    </row>
    <row r="210" spans="2:12" x14ac:dyDescent="0.3">
      <c r="B210">
        <v>178</v>
      </c>
      <c r="C210">
        <v>9849.4075088176633</v>
      </c>
      <c r="E210">
        <v>178</v>
      </c>
      <c r="F210">
        <v>76468.821920107352</v>
      </c>
      <c r="H210">
        <v>178</v>
      </c>
      <c r="I210">
        <v>16508.734500261322</v>
      </c>
      <c r="K210">
        <v>178</v>
      </c>
      <c r="L210">
        <v>6064.9097848692409</v>
      </c>
    </row>
    <row r="211" spans="2:12" x14ac:dyDescent="0.3">
      <c r="B211">
        <v>179</v>
      </c>
      <c r="C211">
        <v>2124.5466047438645</v>
      </c>
      <c r="E211">
        <v>179</v>
      </c>
      <c r="F211">
        <v>68361.278674660687</v>
      </c>
      <c r="H211">
        <v>179</v>
      </c>
      <c r="I211">
        <v>9415.2630056059515</v>
      </c>
      <c r="K211">
        <v>179</v>
      </c>
      <c r="L211">
        <v>20621.793421569528</v>
      </c>
    </row>
    <row r="212" spans="2:12" x14ac:dyDescent="0.3">
      <c r="B212">
        <v>180</v>
      </c>
      <c r="C212">
        <v>2713.2024063285985</v>
      </c>
      <c r="E212">
        <v>180</v>
      </c>
      <c r="F212">
        <v>69369.363587768617</v>
      </c>
      <c r="H212">
        <v>180</v>
      </c>
      <c r="I212">
        <v>16473.562512861656</v>
      </c>
      <c r="K212">
        <v>180</v>
      </c>
      <c r="L212">
        <v>28945.959710054405</v>
      </c>
    </row>
    <row r="213" spans="2:12" x14ac:dyDescent="0.3">
      <c r="B213">
        <v>181</v>
      </c>
      <c r="C213">
        <v>9030.7132090605392</v>
      </c>
      <c r="E213">
        <v>181</v>
      </c>
      <c r="F213">
        <v>64530.753601270531</v>
      </c>
      <c r="H213">
        <v>181</v>
      </c>
      <c r="I213">
        <v>12449.804997350278</v>
      </c>
      <c r="K213">
        <v>181</v>
      </c>
      <c r="L213">
        <v>6593.4940427318834</v>
      </c>
    </row>
    <row r="214" spans="2:12" x14ac:dyDescent="0.3">
      <c r="B214">
        <v>182</v>
      </c>
      <c r="C214">
        <v>7207.5553296186754</v>
      </c>
      <c r="E214">
        <v>182</v>
      </c>
      <c r="F214">
        <v>66723.662390908808</v>
      </c>
      <c r="H214">
        <v>182</v>
      </c>
      <c r="I214">
        <v>15695.651195519975</v>
      </c>
      <c r="K214">
        <v>182</v>
      </c>
      <c r="L214">
        <v>9693.670946298771</v>
      </c>
    </row>
    <row r="215" spans="2:12" x14ac:dyDescent="0.3">
      <c r="B215">
        <v>183</v>
      </c>
      <c r="C215">
        <v>8830.9264831303717</v>
      </c>
      <c r="E215">
        <v>183</v>
      </c>
      <c r="F215">
        <v>77007.176574369587</v>
      </c>
      <c r="H215">
        <v>183</v>
      </c>
      <c r="I215">
        <v>14911.157555766611</v>
      </c>
      <c r="K215">
        <v>183</v>
      </c>
      <c r="L215">
        <v>11154.792367344204</v>
      </c>
    </row>
    <row r="216" spans="2:12" x14ac:dyDescent="0.3">
      <c r="B216">
        <v>184</v>
      </c>
      <c r="C216">
        <v>9511.5872139034436</v>
      </c>
      <c r="E216">
        <v>184</v>
      </c>
      <c r="F216">
        <v>68018.093517273126</v>
      </c>
      <c r="H216">
        <v>184</v>
      </c>
      <c r="I216">
        <v>6221.0835804810959</v>
      </c>
      <c r="K216">
        <v>184</v>
      </c>
      <c r="L216">
        <v>21500.273172340509</v>
      </c>
    </row>
    <row r="217" spans="2:12" x14ac:dyDescent="0.3">
      <c r="B217">
        <v>185</v>
      </c>
      <c r="C217">
        <v>5646.5100379893729</v>
      </c>
      <c r="E217">
        <v>185</v>
      </c>
      <c r="F217">
        <v>75263.782730874402</v>
      </c>
      <c r="H217">
        <v>185</v>
      </c>
      <c r="I217">
        <v>9917.3627712129492</v>
      </c>
      <c r="K217">
        <v>185</v>
      </c>
      <c r="L217">
        <v>12233.681006613358</v>
      </c>
    </row>
    <row r="218" spans="2:12" x14ac:dyDescent="0.3">
      <c r="B218">
        <v>186</v>
      </c>
      <c r="C218">
        <v>7950.8651020781217</v>
      </c>
      <c r="E218">
        <v>186</v>
      </c>
      <c r="F218">
        <v>76187.665277871813</v>
      </c>
      <c r="H218">
        <v>186</v>
      </c>
      <c r="I218">
        <v>8061.7893263221931</v>
      </c>
      <c r="K218">
        <v>186</v>
      </c>
      <c r="L218">
        <v>14332.269883950374</v>
      </c>
    </row>
    <row r="219" spans="2:12" x14ac:dyDescent="0.3">
      <c r="B219">
        <v>187</v>
      </c>
      <c r="C219">
        <v>6074.2295238946117</v>
      </c>
      <c r="E219">
        <v>187</v>
      </c>
      <c r="F219">
        <v>75964.44889212292</v>
      </c>
      <c r="H219">
        <v>187</v>
      </c>
      <c r="I219">
        <v>21835.03620907506</v>
      </c>
      <c r="K219">
        <v>187</v>
      </c>
      <c r="L219">
        <v>17732.42674868746</v>
      </c>
    </row>
    <row r="220" spans="2:12" x14ac:dyDescent="0.3">
      <c r="B220">
        <v>188</v>
      </c>
      <c r="C220">
        <v>8684.5670073067304</v>
      </c>
      <c r="E220">
        <v>188</v>
      </c>
      <c r="F220">
        <v>60399.487331171207</v>
      </c>
      <c r="H220">
        <v>188</v>
      </c>
      <c r="I220">
        <v>15862.768657603532</v>
      </c>
      <c r="K220">
        <v>188</v>
      </c>
      <c r="L220">
        <v>6166.719932435225</v>
      </c>
    </row>
    <row r="221" spans="2:12" x14ac:dyDescent="0.3">
      <c r="B221">
        <v>189</v>
      </c>
      <c r="C221">
        <v>9607.2513935770112</v>
      </c>
      <c r="E221">
        <v>189</v>
      </c>
      <c r="F221">
        <v>70126.229448275946</v>
      </c>
      <c r="H221">
        <v>189</v>
      </c>
      <c r="I221">
        <v>2726.7459573725246</v>
      </c>
      <c r="K221">
        <v>189</v>
      </c>
      <c r="L221">
        <v>17681.646539328452</v>
      </c>
    </row>
    <row r="222" spans="2:12" x14ac:dyDescent="0.3">
      <c r="B222">
        <v>190</v>
      </c>
      <c r="C222">
        <v>4247.4892311672947</v>
      </c>
      <c r="E222">
        <v>190</v>
      </c>
      <c r="F222">
        <v>74842.385766663385</v>
      </c>
      <c r="H222">
        <v>190</v>
      </c>
      <c r="I222">
        <v>16122.527751396361</v>
      </c>
      <c r="K222">
        <v>190</v>
      </c>
      <c r="L222">
        <v>21380.128474602774</v>
      </c>
    </row>
    <row r="223" spans="2:12" x14ac:dyDescent="0.3">
      <c r="B223">
        <v>191</v>
      </c>
      <c r="C223">
        <v>10269.465175591757</v>
      </c>
      <c r="E223">
        <v>191</v>
      </c>
      <c r="F223">
        <v>76486.61697272821</v>
      </c>
      <c r="H223">
        <v>191</v>
      </c>
      <c r="I223">
        <v>9251.7741766237632</v>
      </c>
      <c r="K223">
        <v>191</v>
      </c>
      <c r="L223">
        <v>24750.140173817868</v>
      </c>
    </row>
    <row r="224" spans="2:12" x14ac:dyDescent="0.3">
      <c r="B224">
        <v>192</v>
      </c>
      <c r="C224">
        <v>8207.1222043719172</v>
      </c>
      <c r="E224">
        <v>192</v>
      </c>
      <c r="F224">
        <v>75238.384383784549</v>
      </c>
      <c r="H224">
        <v>192</v>
      </c>
      <c r="I224">
        <v>20312.731451069551</v>
      </c>
      <c r="K224">
        <v>192</v>
      </c>
      <c r="L224">
        <v>20557.806725196577</v>
      </c>
    </row>
    <row r="225" spans="2:12" x14ac:dyDescent="0.3">
      <c r="B225">
        <v>193</v>
      </c>
      <c r="C225">
        <v>5969.3091855860785</v>
      </c>
      <c r="E225">
        <v>193</v>
      </c>
      <c r="F225">
        <v>62335.748430377243</v>
      </c>
      <c r="H225">
        <v>193</v>
      </c>
      <c r="I225">
        <v>8563.8908283351266</v>
      </c>
      <c r="K225">
        <v>193</v>
      </c>
      <c r="L225">
        <v>19435.417605613959</v>
      </c>
    </row>
    <row r="226" spans="2:12" x14ac:dyDescent="0.3">
      <c r="B226">
        <v>194</v>
      </c>
      <c r="C226">
        <v>7218.555661374362</v>
      </c>
      <c r="E226">
        <v>194</v>
      </c>
      <c r="F226">
        <v>77580.807491890446</v>
      </c>
      <c r="H226">
        <v>194</v>
      </c>
      <c r="I226">
        <v>21495.18851101679</v>
      </c>
      <c r="K226">
        <v>194</v>
      </c>
      <c r="L226">
        <v>20183.909552497764</v>
      </c>
    </row>
    <row r="227" spans="2:12" x14ac:dyDescent="0.3">
      <c r="B227">
        <v>195</v>
      </c>
      <c r="C227">
        <v>10473.168259140279</v>
      </c>
      <c r="E227">
        <v>195</v>
      </c>
      <c r="F227">
        <v>66899.590285039129</v>
      </c>
      <c r="H227">
        <v>195</v>
      </c>
      <c r="I227">
        <v>15955.770004418719</v>
      </c>
      <c r="K227">
        <v>195</v>
      </c>
      <c r="L227">
        <v>21803.017098222481</v>
      </c>
    </row>
    <row r="228" spans="2:12" x14ac:dyDescent="0.3">
      <c r="B228">
        <v>196</v>
      </c>
      <c r="C228">
        <v>9857.9580816352427</v>
      </c>
      <c r="E228">
        <v>196</v>
      </c>
      <c r="F228">
        <v>66525.431458440115</v>
      </c>
      <c r="H228">
        <v>196</v>
      </c>
      <c r="I228">
        <v>19992.863251043007</v>
      </c>
      <c r="K228">
        <v>196</v>
      </c>
      <c r="L228">
        <v>25366.203285015315</v>
      </c>
    </row>
    <row r="229" spans="2:12" x14ac:dyDescent="0.3">
      <c r="B229">
        <v>197</v>
      </c>
      <c r="C229">
        <v>4924.7005355795009</v>
      </c>
      <c r="E229">
        <v>197</v>
      </c>
      <c r="F229">
        <v>73357.616723090032</v>
      </c>
      <c r="H229">
        <v>197</v>
      </c>
      <c r="I229">
        <v>12550.704115325851</v>
      </c>
      <c r="K229">
        <v>197</v>
      </c>
      <c r="L229">
        <v>21099.218484978584</v>
      </c>
    </row>
    <row r="230" spans="2:12" x14ac:dyDescent="0.3">
      <c r="B230">
        <v>198</v>
      </c>
      <c r="C230">
        <v>4846.969878855708</v>
      </c>
      <c r="E230">
        <v>198</v>
      </c>
      <c r="F230">
        <v>71275.052380134744</v>
      </c>
      <c r="H230">
        <v>198</v>
      </c>
      <c r="I230">
        <v>10162.243826796472</v>
      </c>
      <c r="K230">
        <v>198</v>
      </c>
      <c r="L230">
        <v>17316.533754561937</v>
      </c>
    </row>
    <row r="231" spans="2:12" x14ac:dyDescent="0.3">
      <c r="B231">
        <v>199</v>
      </c>
      <c r="C231">
        <v>4789.4749451729131</v>
      </c>
      <c r="E231">
        <v>199</v>
      </c>
      <c r="F231">
        <v>68951.71795335284</v>
      </c>
      <c r="H231">
        <v>199</v>
      </c>
      <c r="I231">
        <v>7968.1606607492122</v>
      </c>
      <c r="K231">
        <v>199</v>
      </c>
      <c r="L231">
        <v>30319.011231536711</v>
      </c>
    </row>
    <row r="232" spans="2:12" x14ac:dyDescent="0.3">
      <c r="B232">
        <v>200</v>
      </c>
      <c r="C232">
        <v>7338.6189959369976</v>
      </c>
      <c r="E232">
        <v>200</v>
      </c>
      <c r="F232">
        <v>77327.326099390339</v>
      </c>
      <c r="H232">
        <v>200</v>
      </c>
      <c r="I232">
        <v>13626.177703657206</v>
      </c>
      <c r="K232">
        <v>200</v>
      </c>
      <c r="L232">
        <v>8425.6404799679858</v>
      </c>
    </row>
    <row r="233" spans="2:12" x14ac:dyDescent="0.3">
      <c r="B233">
        <v>201</v>
      </c>
      <c r="C233">
        <v>7312.4216729573554</v>
      </c>
      <c r="E233">
        <v>201</v>
      </c>
      <c r="F233">
        <v>69458.353705285859</v>
      </c>
      <c r="H233">
        <v>201</v>
      </c>
      <c r="I233">
        <v>23029.376415700739</v>
      </c>
      <c r="K233">
        <v>201</v>
      </c>
      <c r="L233">
        <v>11378.533734816512</v>
      </c>
    </row>
    <row r="234" spans="2:12" x14ac:dyDescent="0.3">
      <c r="B234">
        <v>202</v>
      </c>
      <c r="C234">
        <v>10673.444388845021</v>
      </c>
      <c r="E234">
        <v>202</v>
      </c>
      <c r="F234">
        <v>62497.208304386644</v>
      </c>
      <c r="H234">
        <v>202</v>
      </c>
      <c r="I234">
        <v>12639.058070482517</v>
      </c>
      <c r="K234">
        <v>202</v>
      </c>
      <c r="L234">
        <v>15694.431152368383</v>
      </c>
    </row>
    <row r="235" spans="2:12" x14ac:dyDescent="0.3">
      <c r="B235">
        <v>203</v>
      </c>
      <c r="C235">
        <v>5378.6645876275206</v>
      </c>
      <c r="E235">
        <v>203</v>
      </c>
      <c r="F235">
        <v>75285.947464214129</v>
      </c>
      <c r="H235">
        <v>203</v>
      </c>
      <c r="I235">
        <v>4465.7370445324614</v>
      </c>
      <c r="K235">
        <v>203</v>
      </c>
      <c r="L235">
        <v>24464.509672329488</v>
      </c>
    </row>
    <row r="236" spans="2:12" x14ac:dyDescent="0.3">
      <c r="B236">
        <v>204</v>
      </c>
      <c r="C236">
        <v>7550.4726044208901</v>
      </c>
      <c r="E236">
        <v>204</v>
      </c>
      <c r="F236">
        <v>69297.282031183728</v>
      </c>
      <c r="H236">
        <v>204</v>
      </c>
      <c r="I236">
        <v>15272.23423583228</v>
      </c>
      <c r="K236">
        <v>204</v>
      </c>
      <c r="L236">
        <v>9187.5009938125877</v>
      </c>
    </row>
    <row r="237" spans="2:12" x14ac:dyDescent="0.3">
      <c r="B237">
        <v>205</v>
      </c>
      <c r="C237">
        <v>11882.107250561787</v>
      </c>
      <c r="E237">
        <v>205</v>
      </c>
      <c r="F237">
        <v>74111.513098263502</v>
      </c>
      <c r="H237">
        <v>205</v>
      </c>
      <c r="I237">
        <v>18328.070677759566</v>
      </c>
      <c r="K237">
        <v>205</v>
      </c>
      <c r="L237">
        <v>28246.40541417721</v>
      </c>
    </row>
    <row r="238" spans="2:12" x14ac:dyDescent="0.3">
      <c r="B238">
        <v>206</v>
      </c>
      <c r="C238">
        <v>11190.332297176628</v>
      </c>
      <c r="E238">
        <v>206</v>
      </c>
      <c r="F238">
        <v>73414.304657205736</v>
      </c>
      <c r="H238">
        <v>206</v>
      </c>
      <c r="I238">
        <v>15260.839829576356</v>
      </c>
      <c r="K238">
        <v>206</v>
      </c>
      <c r="L238">
        <v>17917.706200662578</v>
      </c>
    </row>
    <row r="239" spans="2:12" x14ac:dyDescent="0.3">
      <c r="B239">
        <v>207</v>
      </c>
      <c r="C239">
        <v>8988.0901237538037</v>
      </c>
      <c r="E239">
        <v>207</v>
      </c>
      <c r="F239">
        <v>64200.004928314091</v>
      </c>
      <c r="H239">
        <v>207</v>
      </c>
      <c r="I239">
        <v>21082.995374968257</v>
      </c>
      <c r="K239">
        <v>207</v>
      </c>
      <c r="L239">
        <v>3569.9507509685377</v>
      </c>
    </row>
    <row r="240" spans="2:12" x14ac:dyDescent="0.3">
      <c r="B240">
        <v>208</v>
      </c>
      <c r="C240">
        <v>7608.1320542340891</v>
      </c>
      <c r="E240">
        <v>208</v>
      </c>
      <c r="F240">
        <v>66559.068077221309</v>
      </c>
      <c r="H240">
        <v>208</v>
      </c>
      <c r="I240">
        <v>16329.093147782532</v>
      </c>
      <c r="K240">
        <v>208</v>
      </c>
      <c r="L240">
        <v>9267.6673288742277</v>
      </c>
    </row>
    <row r="241" spans="2:12" x14ac:dyDescent="0.3">
      <c r="B241">
        <v>209</v>
      </c>
      <c r="C241">
        <v>8096.2802879620567</v>
      </c>
      <c r="E241">
        <v>209</v>
      </c>
      <c r="F241">
        <v>71613.775098969563</v>
      </c>
      <c r="H241">
        <v>209</v>
      </c>
      <c r="I241">
        <v>14714.668068541347</v>
      </c>
      <c r="K241">
        <v>209</v>
      </c>
      <c r="L241">
        <v>24606.009102812481</v>
      </c>
    </row>
    <row r="242" spans="2:12" x14ac:dyDescent="0.3">
      <c r="B242">
        <v>210</v>
      </c>
      <c r="C242">
        <v>6631.5175725627678</v>
      </c>
      <c r="E242">
        <v>210</v>
      </c>
      <c r="F242">
        <v>71564.512774074057</v>
      </c>
      <c r="H242">
        <v>210</v>
      </c>
      <c r="I242">
        <v>19499.571384052077</v>
      </c>
      <c r="K242">
        <v>210</v>
      </c>
      <c r="L242">
        <v>13705.97973272584</v>
      </c>
    </row>
    <row r="243" spans="2:12" x14ac:dyDescent="0.3">
      <c r="B243">
        <v>211</v>
      </c>
      <c r="C243">
        <v>5494.3590322405516</v>
      </c>
      <c r="E243">
        <v>211</v>
      </c>
      <c r="F243">
        <v>70799.316196127038</v>
      </c>
      <c r="H243">
        <v>211</v>
      </c>
      <c r="I243">
        <v>10194.809061838634</v>
      </c>
      <c r="K243">
        <v>211</v>
      </c>
      <c r="L243">
        <v>27033.016228914512</v>
      </c>
    </row>
    <row r="244" spans="2:12" x14ac:dyDescent="0.3">
      <c r="B244">
        <v>212</v>
      </c>
      <c r="C244">
        <v>5661.0853607555855</v>
      </c>
      <c r="E244">
        <v>212</v>
      </c>
      <c r="F244">
        <v>63691.66512423013</v>
      </c>
      <c r="H244">
        <v>212</v>
      </c>
      <c r="I244">
        <v>14769.723575827144</v>
      </c>
      <c r="K244">
        <v>212</v>
      </c>
      <c r="L244">
        <v>13323.775633047881</v>
      </c>
    </row>
    <row r="245" spans="2:12" x14ac:dyDescent="0.3">
      <c r="B245">
        <v>213</v>
      </c>
      <c r="C245">
        <v>8506.520476855434</v>
      </c>
      <c r="E245">
        <v>213</v>
      </c>
      <c r="F245">
        <v>72532.187019493678</v>
      </c>
      <c r="H245">
        <v>213</v>
      </c>
      <c r="I245">
        <v>3924.2375427732968</v>
      </c>
      <c r="K245">
        <v>213</v>
      </c>
      <c r="L245">
        <v>28136.629934496123</v>
      </c>
    </row>
    <row r="246" spans="2:12" x14ac:dyDescent="0.3">
      <c r="B246">
        <v>214</v>
      </c>
      <c r="C246">
        <v>8878.5328973228861</v>
      </c>
      <c r="E246">
        <v>214</v>
      </c>
      <c r="F246">
        <v>70579.788807606747</v>
      </c>
      <c r="H246">
        <v>214</v>
      </c>
      <c r="I246">
        <v>20127.080110073737</v>
      </c>
      <c r="K246">
        <v>214</v>
      </c>
      <c r="L246">
        <v>18222.299462209456</v>
      </c>
    </row>
    <row r="247" spans="2:12" x14ac:dyDescent="0.3">
      <c r="B247">
        <v>215</v>
      </c>
      <c r="C247">
        <v>10880.758607677115</v>
      </c>
      <c r="E247">
        <v>215</v>
      </c>
      <c r="F247">
        <v>76512.855629475933</v>
      </c>
      <c r="H247">
        <v>215</v>
      </c>
      <c r="I247">
        <v>4916.5621381693945</v>
      </c>
      <c r="K247">
        <v>215</v>
      </c>
      <c r="L247">
        <v>17379.361777689675</v>
      </c>
    </row>
    <row r="248" spans="2:12" x14ac:dyDescent="0.3">
      <c r="B248">
        <v>216</v>
      </c>
      <c r="C248">
        <v>10510.854233562939</v>
      </c>
      <c r="E248">
        <v>216</v>
      </c>
      <c r="F248">
        <v>67795.957535342663</v>
      </c>
      <c r="H248">
        <v>216</v>
      </c>
      <c r="I248">
        <v>17293.189282170886</v>
      </c>
      <c r="K248">
        <v>216</v>
      </c>
      <c r="L248">
        <v>18617.930088394947</v>
      </c>
    </row>
    <row r="249" spans="2:12" x14ac:dyDescent="0.3">
      <c r="B249">
        <v>217</v>
      </c>
      <c r="C249">
        <v>4716.7137978703258</v>
      </c>
      <c r="E249">
        <v>217</v>
      </c>
      <c r="F249">
        <v>79623.447410641937</v>
      </c>
      <c r="H249">
        <v>217</v>
      </c>
      <c r="I249">
        <v>10873.901847546946</v>
      </c>
      <c r="K249">
        <v>217</v>
      </c>
      <c r="L249">
        <v>7028.9648975327764</v>
      </c>
    </row>
    <row r="250" spans="2:12" x14ac:dyDescent="0.3">
      <c r="B250">
        <v>218</v>
      </c>
      <c r="C250">
        <v>8273.9445423159159</v>
      </c>
      <c r="E250">
        <v>218</v>
      </c>
      <c r="F250">
        <v>73255.418113248481</v>
      </c>
      <c r="H250">
        <v>218</v>
      </c>
      <c r="I250">
        <v>12395.659084261701</v>
      </c>
      <c r="K250">
        <v>218</v>
      </c>
      <c r="L250">
        <v>21533.932402677747</v>
      </c>
    </row>
    <row r="251" spans="2:12" x14ac:dyDescent="0.3">
      <c r="B251">
        <v>219</v>
      </c>
      <c r="C251">
        <v>8248.8103354034247</v>
      </c>
      <c r="E251">
        <v>219</v>
      </c>
      <c r="F251">
        <v>69967.651365691025</v>
      </c>
      <c r="H251">
        <v>219</v>
      </c>
      <c r="I251">
        <v>12588.971176623929</v>
      </c>
      <c r="K251">
        <v>219</v>
      </c>
      <c r="L251">
        <v>16738.35442824474</v>
      </c>
    </row>
    <row r="252" spans="2:12" x14ac:dyDescent="0.3">
      <c r="B252">
        <v>220</v>
      </c>
      <c r="C252">
        <v>11707.090563679965</v>
      </c>
      <c r="E252">
        <v>220</v>
      </c>
      <c r="F252">
        <v>73424.508435401804</v>
      </c>
      <c r="H252">
        <v>220</v>
      </c>
      <c r="I252">
        <v>18309.385177332952</v>
      </c>
      <c r="K252">
        <v>220</v>
      </c>
      <c r="L252">
        <v>13650.83778569788</v>
      </c>
    </row>
    <row r="253" spans="2:12" x14ac:dyDescent="0.3">
      <c r="B253">
        <v>221</v>
      </c>
      <c r="C253">
        <v>8779.2761470357982</v>
      </c>
      <c r="E253">
        <v>221</v>
      </c>
      <c r="F253">
        <v>78871.699128604654</v>
      </c>
      <c r="H253">
        <v>221</v>
      </c>
      <c r="I253">
        <v>20434.310211505228</v>
      </c>
      <c r="K253">
        <v>221</v>
      </c>
      <c r="L253">
        <v>19945.247777323897</v>
      </c>
    </row>
    <row r="254" spans="2:12" x14ac:dyDescent="0.3">
      <c r="B254">
        <v>222</v>
      </c>
      <c r="C254">
        <v>1123.2057117113277</v>
      </c>
      <c r="E254">
        <v>222</v>
      </c>
      <c r="F254">
        <v>62424.641889888946</v>
      </c>
      <c r="H254">
        <v>222</v>
      </c>
      <c r="I254">
        <v>12535.984138845417</v>
      </c>
      <c r="K254">
        <v>222</v>
      </c>
      <c r="L254">
        <v>25978.62934999153</v>
      </c>
    </row>
    <row r="255" spans="2:12" x14ac:dyDescent="0.3">
      <c r="B255">
        <v>223</v>
      </c>
      <c r="C255">
        <v>6280.5639852825097</v>
      </c>
      <c r="E255">
        <v>223</v>
      </c>
      <c r="F255">
        <v>77400.388569212926</v>
      </c>
      <c r="H255">
        <v>223</v>
      </c>
      <c r="I255">
        <v>14339.31054486943</v>
      </c>
      <c r="K255">
        <v>223</v>
      </c>
      <c r="L255">
        <v>12064.234214481143</v>
      </c>
    </row>
    <row r="256" spans="2:12" x14ac:dyDescent="0.3">
      <c r="B256">
        <v>224</v>
      </c>
      <c r="C256">
        <v>9507.5756463108519</v>
      </c>
      <c r="E256">
        <v>224</v>
      </c>
      <c r="F256">
        <v>69028.179759582737</v>
      </c>
      <c r="H256">
        <v>224</v>
      </c>
      <c r="I256">
        <v>21675.926149060833</v>
      </c>
      <c r="K256">
        <v>224</v>
      </c>
      <c r="L256">
        <v>6554.6729893251822</v>
      </c>
    </row>
    <row r="257" spans="2:12" x14ac:dyDescent="0.3">
      <c r="B257">
        <v>225</v>
      </c>
      <c r="C257">
        <v>8022.2406555653915</v>
      </c>
      <c r="E257">
        <v>225</v>
      </c>
      <c r="F257">
        <v>69000.341010130316</v>
      </c>
      <c r="H257">
        <v>225</v>
      </c>
      <c r="I257">
        <v>17762.215180714629</v>
      </c>
      <c r="K257">
        <v>225</v>
      </c>
      <c r="L257">
        <v>13988.238720373165</v>
      </c>
    </row>
    <row r="258" spans="2:12" x14ac:dyDescent="0.3">
      <c r="B258">
        <v>226</v>
      </c>
      <c r="C258">
        <v>8113.0946783670115</v>
      </c>
      <c r="E258">
        <v>226</v>
      </c>
      <c r="F258">
        <v>64656.530589354756</v>
      </c>
      <c r="H258">
        <v>226</v>
      </c>
      <c r="I258">
        <v>19252.339318941074</v>
      </c>
      <c r="K258">
        <v>226</v>
      </c>
      <c r="L258">
        <v>4610.7202467595143</v>
      </c>
    </row>
    <row r="259" spans="2:12" x14ac:dyDescent="0.3">
      <c r="B259">
        <v>227</v>
      </c>
      <c r="C259">
        <v>3825.1183577271181</v>
      </c>
      <c r="E259">
        <v>227</v>
      </c>
      <c r="F259">
        <v>75406.86148027594</v>
      </c>
      <c r="H259">
        <v>227</v>
      </c>
      <c r="I259">
        <v>10522.940073943982</v>
      </c>
      <c r="K259">
        <v>227</v>
      </c>
      <c r="L259">
        <v>15414.441656240948</v>
      </c>
    </row>
    <row r="260" spans="2:12" x14ac:dyDescent="0.3">
      <c r="B260">
        <v>228</v>
      </c>
      <c r="C260">
        <v>10356.545305169457</v>
      </c>
      <c r="E260">
        <v>228</v>
      </c>
      <c r="F260">
        <v>63710.402916880761</v>
      </c>
      <c r="H260">
        <v>228</v>
      </c>
      <c r="I260">
        <v>5437.1857409134027</v>
      </c>
      <c r="K260">
        <v>228</v>
      </c>
      <c r="L260">
        <v>17354.542534249933</v>
      </c>
    </row>
    <row r="261" spans="2:12" x14ac:dyDescent="0.3">
      <c r="B261">
        <v>229</v>
      </c>
      <c r="C261">
        <v>3789.536679987893</v>
      </c>
      <c r="E261">
        <v>229</v>
      </c>
      <c r="F261">
        <v>71155.883467741398</v>
      </c>
      <c r="H261">
        <v>229</v>
      </c>
      <c r="I261">
        <v>22099.040570339675</v>
      </c>
      <c r="K261">
        <v>229</v>
      </c>
      <c r="L261">
        <v>21601.56579711839</v>
      </c>
    </row>
    <row r="262" spans="2:12" x14ac:dyDescent="0.3">
      <c r="B262">
        <v>230</v>
      </c>
      <c r="C262">
        <v>6413.0246804575636</v>
      </c>
      <c r="E262">
        <v>230</v>
      </c>
      <c r="F262">
        <v>79235.063388353883</v>
      </c>
      <c r="H262">
        <v>230</v>
      </c>
      <c r="I262">
        <v>13745.613630848946</v>
      </c>
      <c r="K262">
        <v>230</v>
      </c>
      <c r="L262">
        <v>21474.04027128141</v>
      </c>
    </row>
    <row r="263" spans="2:12" x14ac:dyDescent="0.3">
      <c r="B263">
        <v>231</v>
      </c>
      <c r="C263">
        <v>11988.223873826284</v>
      </c>
      <c r="E263">
        <v>231</v>
      </c>
      <c r="F263">
        <v>78231.48160191442</v>
      </c>
      <c r="H263">
        <v>231</v>
      </c>
      <c r="I263">
        <v>16233.046966450911</v>
      </c>
      <c r="K263">
        <v>231</v>
      </c>
      <c r="L263">
        <v>27343.455358977109</v>
      </c>
    </row>
    <row r="264" spans="2:12" x14ac:dyDescent="0.3">
      <c r="B264">
        <v>232</v>
      </c>
      <c r="C264">
        <v>7137.0609872531304</v>
      </c>
      <c r="E264">
        <v>232</v>
      </c>
      <c r="F264">
        <v>74312.681392756189</v>
      </c>
      <c r="H264">
        <v>232</v>
      </c>
      <c r="I264">
        <v>18858.089592870176</v>
      </c>
      <c r="K264">
        <v>232</v>
      </c>
      <c r="L264">
        <v>21334.789961213639</v>
      </c>
    </row>
    <row r="265" spans="2:12" x14ac:dyDescent="0.3">
      <c r="B265">
        <v>233</v>
      </c>
      <c r="C265">
        <v>7302.6755924254057</v>
      </c>
      <c r="E265">
        <v>233</v>
      </c>
      <c r="F265">
        <v>66839.079163697199</v>
      </c>
      <c r="H265">
        <v>233</v>
      </c>
      <c r="I265">
        <v>18739.504172931833</v>
      </c>
      <c r="K265">
        <v>233</v>
      </c>
      <c r="L265">
        <v>18242.154114248104</v>
      </c>
    </row>
    <row r="266" spans="2:12" x14ac:dyDescent="0.3">
      <c r="B266">
        <v>234</v>
      </c>
      <c r="C266">
        <v>10215.569062146244</v>
      </c>
      <c r="E266">
        <v>234</v>
      </c>
      <c r="F266">
        <v>70103.248037458383</v>
      </c>
      <c r="H266">
        <v>234</v>
      </c>
      <c r="I266">
        <v>11022.316259417321</v>
      </c>
      <c r="K266">
        <v>234</v>
      </c>
      <c r="L266">
        <v>16769.181712163911</v>
      </c>
    </row>
    <row r="267" spans="2:12" x14ac:dyDescent="0.3">
      <c r="B267">
        <v>235</v>
      </c>
      <c r="C267">
        <v>6332.4459744351707</v>
      </c>
      <c r="E267">
        <v>235</v>
      </c>
      <c r="F267">
        <v>76492.399383015174</v>
      </c>
      <c r="H267">
        <v>235</v>
      </c>
      <c r="I267">
        <v>11532.771891326729</v>
      </c>
      <c r="K267">
        <v>235</v>
      </c>
      <c r="L267">
        <v>17984.840093652856</v>
      </c>
    </row>
    <row r="268" spans="2:12" x14ac:dyDescent="0.3">
      <c r="B268">
        <v>236</v>
      </c>
      <c r="C268">
        <v>5661.5937190438399</v>
      </c>
      <c r="E268">
        <v>236</v>
      </c>
      <c r="F268">
        <v>70971.187549817652</v>
      </c>
      <c r="H268">
        <v>236</v>
      </c>
      <c r="I268">
        <v>12492.938593494959</v>
      </c>
      <c r="K268">
        <v>236</v>
      </c>
      <c r="L268">
        <v>12322.526645177019</v>
      </c>
    </row>
    <row r="269" spans="2:12" x14ac:dyDescent="0.3">
      <c r="B269">
        <v>237</v>
      </c>
      <c r="C269">
        <v>10866.30800999545</v>
      </c>
      <c r="E269">
        <v>237</v>
      </c>
      <c r="F269">
        <v>73269.302157170372</v>
      </c>
      <c r="H269">
        <v>237</v>
      </c>
      <c r="I269">
        <v>10878.031336410586</v>
      </c>
      <c r="K269">
        <v>237</v>
      </c>
      <c r="L269">
        <v>22092.840207290144</v>
      </c>
    </row>
    <row r="270" spans="2:12" x14ac:dyDescent="0.3">
      <c r="B270">
        <v>238</v>
      </c>
      <c r="C270">
        <v>9233.9915021904526</v>
      </c>
      <c r="E270">
        <v>238</v>
      </c>
      <c r="F270">
        <v>77435.8036303181</v>
      </c>
      <c r="H270">
        <v>238</v>
      </c>
      <c r="I270">
        <v>14557.571136324597</v>
      </c>
      <c r="K270">
        <v>238</v>
      </c>
      <c r="L270">
        <v>30388.366686565041</v>
      </c>
    </row>
    <row r="271" spans="2:12" x14ac:dyDescent="0.3">
      <c r="B271">
        <v>239</v>
      </c>
      <c r="C271">
        <v>9225.6976576742854</v>
      </c>
      <c r="E271">
        <v>239</v>
      </c>
      <c r="F271">
        <v>67668.029486315718</v>
      </c>
      <c r="H271">
        <v>239</v>
      </c>
      <c r="I271">
        <v>11481.249989342719</v>
      </c>
      <c r="K271">
        <v>239</v>
      </c>
      <c r="L271">
        <v>18147.229949179946</v>
      </c>
    </row>
    <row r="272" spans="2:12" x14ac:dyDescent="0.3">
      <c r="B272">
        <v>240</v>
      </c>
      <c r="C272">
        <v>5507.2954332425461</v>
      </c>
      <c r="E272">
        <v>240</v>
      </c>
      <c r="F272">
        <v>74681.477219542227</v>
      </c>
      <c r="H272">
        <v>240</v>
      </c>
      <c r="I272">
        <v>13046.199991783807</v>
      </c>
      <c r="K272">
        <v>240</v>
      </c>
      <c r="L272">
        <v>19935.440351137531</v>
      </c>
    </row>
    <row r="273" spans="2:12" x14ac:dyDescent="0.3">
      <c r="B273">
        <v>241</v>
      </c>
      <c r="C273">
        <v>805.7380114292738</v>
      </c>
      <c r="E273">
        <v>241</v>
      </c>
      <c r="F273">
        <v>77855.1596807022</v>
      </c>
      <c r="H273">
        <v>241</v>
      </c>
      <c r="I273">
        <v>16314.332745749196</v>
      </c>
      <c r="K273">
        <v>241</v>
      </c>
      <c r="L273">
        <v>15557.463392680354</v>
      </c>
    </row>
    <row r="274" spans="2:12" x14ac:dyDescent="0.3">
      <c r="B274">
        <v>242</v>
      </c>
      <c r="C274">
        <v>6293.2806050250529</v>
      </c>
      <c r="E274">
        <v>242</v>
      </c>
      <c r="F274">
        <v>66134.595142997627</v>
      </c>
      <c r="H274">
        <v>242</v>
      </c>
      <c r="I274">
        <v>17398.742577015451</v>
      </c>
      <c r="K274">
        <v>242</v>
      </c>
      <c r="L274">
        <v>22877.39331094197</v>
      </c>
    </row>
    <row r="275" spans="2:12" x14ac:dyDescent="0.3">
      <c r="B275">
        <v>243</v>
      </c>
      <c r="C275">
        <v>7773.8709455676862</v>
      </c>
      <c r="E275">
        <v>243</v>
      </c>
      <c r="F275">
        <v>73977.009626678569</v>
      </c>
      <c r="H275">
        <v>243</v>
      </c>
      <c r="I275">
        <v>22965.376513547402</v>
      </c>
      <c r="K275">
        <v>243</v>
      </c>
      <c r="L275">
        <v>26536.727183151415</v>
      </c>
    </row>
    <row r="276" spans="2:12" x14ac:dyDescent="0.3">
      <c r="B276">
        <v>244</v>
      </c>
      <c r="C276">
        <v>1952.4104043367304</v>
      </c>
      <c r="E276">
        <v>244</v>
      </c>
      <c r="F276">
        <v>70271.543630392451</v>
      </c>
      <c r="H276">
        <v>244</v>
      </c>
      <c r="I276">
        <v>16023.662627729835</v>
      </c>
      <c r="K276">
        <v>244</v>
      </c>
      <c r="L276">
        <v>18680.705580451631</v>
      </c>
    </row>
    <row r="277" spans="2:12" x14ac:dyDescent="0.3">
      <c r="B277">
        <v>245</v>
      </c>
      <c r="C277">
        <v>4904.8997521842621</v>
      </c>
      <c r="E277">
        <v>245</v>
      </c>
      <c r="F277">
        <v>61937.647912885092</v>
      </c>
      <c r="H277">
        <v>245</v>
      </c>
      <c r="I277">
        <v>17833.828574632171</v>
      </c>
      <c r="K277">
        <v>245</v>
      </c>
      <c r="L277">
        <v>22375.49361831179</v>
      </c>
    </row>
    <row r="278" spans="2:12" x14ac:dyDescent="0.3">
      <c r="B278">
        <v>246</v>
      </c>
      <c r="C278">
        <v>8599.5638560376119</v>
      </c>
      <c r="E278">
        <v>246</v>
      </c>
      <c r="F278">
        <v>63538.375620101986</v>
      </c>
      <c r="H278">
        <v>246</v>
      </c>
      <c r="I278">
        <v>17638.293977398054</v>
      </c>
      <c r="K278">
        <v>246</v>
      </c>
      <c r="L278">
        <v>12620.040615471402</v>
      </c>
    </row>
    <row r="279" spans="2:12" x14ac:dyDescent="0.3">
      <c r="B279">
        <v>247</v>
      </c>
      <c r="C279">
        <v>4623.8058660147317</v>
      </c>
      <c r="E279">
        <v>247</v>
      </c>
      <c r="F279">
        <v>74518.088884560362</v>
      </c>
      <c r="H279">
        <v>247</v>
      </c>
      <c r="I279">
        <v>15834.051021949534</v>
      </c>
      <c r="K279">
        <v>247</v>
      </c>
      <c r="L279">
        <v>23948.874751121355</v>
      </c>
    </row>
    <row r="280" spans="2:12" x14ac:dyDescent="0.3">
      <c r="B280">
        <v>248</v>
      </c>
      <c r="C280">
        <v>2824.7837533658899</v>
      </c>
      <c r="E280">
        <v>248</v>
      </c>
      <c r="F280">
        <v>71264.713946027754</v>
      </c>
      <c r="H280">
        <v>248</v>
      </c>
      <c r="I280">
        <v>20376.042016749772</v>
      </c>
      <c r="K280">
        <v>248</v>
      </c>
      <c r="L280">
        <v>14589.266588011817</v>
      </c>
    </row>
    <row r="281" spans="2:12" x14ac:dyDescent="0.3">
      <c r="B281">
        <v>249</v>
      </c>
      <c r="C281">
        <v>5553.0433132276303</v>
      </c>
      <c r="E281">
        <v>249</v>
      </c>
      <c r="F281">
        <v>72749.315972509256</v>
      </c>
      <c r="H281">
        <v>249</v>
      </c>
      <c r="I281">
        <v>5518.6331368492756</v>
      </c>
      <c r="K281">
        <v>249</v>
      </c>
      <c r="L281">
        <v>25717.628546341402</v>
      </c>
    </row>
    <row r="282" spans="2:12" x14ac:dyDescent="0.3">
      <c r="B282">
        <v>250</v>
      </c>
      <c r="C282">
        <v>9422.5710901017083</v>
      </c>
      <c r="E282">
        <v>250</v>
      </c>
      <c r="F282">
        <v>74731.492172312122</v>
      </c>
      <c r="H282">
        <v>250</v>
      </c>
      <c r="I282">
        <v>13604.529474068706</v>
      </c>
      <c r="K282">
        <v>250</v>
      </c>
      <c r="L282">
        <v>17234.503051441665</v>
      </c>
    </row>
    <row r="283" spans="2:12" x14ac:dyDescent="0.3">
      <c r="B283">
        <v>251</v>
      </c>
      <c r="C283">
        <v>10963.512288152006</v>
      </c>
      <c r="E283">
        <v>251</v>
      </c>
      <c r="F283">
        <v>64831.709050608202</v>
      </c>
      <c r="H283">
        <v>251</v>
      </c>
      <c r="I283">
        <v>11906.819289914029</v>
      </c>
      <c r="K283">
        <v>251</v>
      </c>
      <c r="L283">
        <v>16360.215569620896</v>
      </c>
    </row>
    <row r="284" spans="2:12" x14ac:dyDescent="0.3">
      <c r="B284">
        <v>252</v>
      </c>
      <c r="C284">
        <v>9469.5654549342598</v>
      </c>
      <c r="E284">
        <v>252</v>
      </c>
      <c r="F284">
        <v>71498.193087460852</v>
      </c>
      <c r="H284">
        <v>252</v>
      </c>
      <c r="I284">
        <v>12308.411145779082</v>
      </c>
      <c r="K284">
        <v>252</v>
      </c>
      <c r="L284">
        <v>18685.371474557196</v>
      </c>
    </row>
    <row r="285" spans="2:12" x14ac:dyDescent="0.3">
      <c r="B285">
        <v>253</v>
      </c>
      <c r="C285">
        <v>8271.7954725429045</v>
      </c>
      <c r="E285">
        <v>253</v>
      </c>
      <c r="F285">
        <v>77701.609237101802</v>
      </c>
      <c r="H285">
        <v>253</v>
      </c>
      <c r="I285">
        <v>17079.582761688143</v>
      </c>
      <c r="K285">
        <v>253</v>
      </c>
      <c r="L285">
        <v>16174.092482558483</v>
      </c>
    </row>
    <row r="286" spans="2:12" x14ac:dyDescent="0.3">
      <c r="B286">
        <v>254</v>
      </c>
      <c r="C286">
        <v>5590.0337173392618</v>
      </c>
      <c r="E286">
        <v>254</v>
      </c>
      <c r="F286">
        <v>74445.901317978976</v>
      </c>
      <c r="H286">
        <v>254</v>
      </c>
      <c r="I286">
        <v>9266.8341211692987</v>
      </c>
      <c r="K286">
        <v>254</v>
      </c>
      <c r="L286">
        <v>16838.728748614947</v>
      </c>
    </row>
    <row r="287" spans="2:12" x14ac:dyDescent="0.3">
      <c r="B287">
        <v>255</v>
      </c>
      <c r="C287">
        <v>7320.6381024818147</v>
      </c>
      <c r="E287">
        <v>255</v>
      </c>
      <c r="F287">
        <v>77821.96651435738</v>
      </c>
      <c r="H287">
        <v>255</v>
      </c>
      <c r="I287">
        <v>22571.555678151508</v>
      </c>
      <c r="K287">
        <v>255</v>
      </c>
      <c r="L287">
        <v>25676.308072478976</v>
      </c>
    </row>
    <row r="288" spans="2:12" x14ac:dyDescent="0.3">
      <c r="B288">
        <v>256</v>
      </c>
      <c r="C288">
        <v>10305.510550377998</v>
      </c>
      <c r="E288">
        <v>256</v>
      </c>
      <c r="F288">
        <v>75394.274343484911</v>
      </c>
      <c r="H288">
        <v>256</v>
      </c>
      <c r="I288">
        <v>18688.836253683843</v>
      </c>
      <c r="K288">
        <v>256</v>
      </c>
      <c r="L288">
        <v>13605.914757847717</v>
      </c>
    </row>
    <row r="289" spans="2:12" x14ac:dyDescent="0.3">
      <c r="B289">
        <v>257</v>
      </c>
      <c r="C289">
        <v>10579.229193814585</v>
      </c>
      <c r="E289">
        <v>257</v>
      </c>
      <c r="F289">
        <v>78309.921896062631</v>
      </c>
      <c r="H289">
        <v>257</v>
      </c>
      <c r="I289">
        <v>10323.387190516451</v>
      </c>
      <c r="K289">
        <v>257</v>
      </c>
      <c r="L289">
        <v>10188.863359146961</v>
      </c>
    </row>
    <row r="290" spans="2:12" x14ac:dyDescent="0.3">
      <c r="B290">
        <v>258</v>
      </c>
      <c r="C290">
        <v>5998.6982769426495</v>
      </c>
      <c r="E290">
        <v>258</v>
      </c>
      <c r="F290">
        <v>68312.152117159261</v>
      </c>
      <c r="H290">
        <v>258</v>
      </c>
      <c r="I290">
        <v>16055.826563432543</v>
      </c>
      <c r="K290">
        <v>258</v>
      </c>
      <c r="L290">
        <v>7618.1357584612597</v>
      </c>
    </row>
    <row r="291" spans="2:12" x14ac:dyDescent="0.3">
      <c r="B291">
        <v>259</v>
      </c>
      <c r="C291">
        <v>3793.5178802031437</v>
      </c>
      <c r="E291">
        <v>259</v>
      </c>
      <c r="F291">
        <v>72214.947418128198</v>
      </c>
      <c r="H291">
        <v>259</v>
      </c>
      <c r="I291">
        <v>16048.567711720405</v>
      </c>
      <c r="K291">
        <v>259</v>
      </c>
      <c r="L291">
        <v>27222.84729054031</v>
      </c>
    </row>
    <row r="292" spans="2:12" x14ac:dyDescent="0.3">
      <c r="B292">
        <v>260</v>
      </c>
      <c r="C292">
        <v>2311.3681676038632</v>
      </c>
      <c r="E292">
        <v>260</v>
      </c>
      <c r="F292">
        <v>79052.03542048212</v>
      </c>
      <c r="H292">
        <v>260</v>
      </c>
      <c r="I292">
        <v>10922.358631293646</v>
      </c>
      <c r="K292">
        <v>260</v>
      </c>
      <c r="L292">
        <v>19355.984464571477</v>
      </c>
    </row>
    <row r="293" spans="2:12" x14ac:dyDescent="0.3">
      <c r="B293">
        <v>261</v>
      </c>
      <c r="C293">
        <v>6764.7658131742737</v>
      </c>
      <c r="E293">
        <v>261</v>
      </c>
      <c r="F293">
        <v>77434.421533672779</v>
      </c>
      <c r="H293">
        <v>261</v>
      </c>
      <c r="I293">
        <v>23384.735558238641</v>
      </c>
      <c r="K293">
        <v>261</v>
      </c>
      <c r="L293">
        <v>13725.772331716944</v>
      </c>
    </row>
    <row r="294" spans="2:12" x14ac:dyDescent="0.3">
      <c r="B294">
        <v>262</v>
      </c>
      <c r="C294">
        <v>5990.6609772159163</v>
      </c>
      <c r="E294">
        <v>262</v>
      </c>
      <c r="F294">
        <v>64942.58175933882</v>
      </c>
      <c r="H294">
        <v>262</v>
      </c>
      <c r="I294">
        <v>14734.398089601284</v>
      </c>
      <c r="K294">
        <v>262</v>
      </c>
      <c r="L294">
        <v>18487.048292307751</v>
      </c>
    </row>
    <row r="295" spans="2:12" x14ac:dyDescent="0.3">
      <c r="B295">
        <v>263</v>
      </c>
      <c r="C295">
        <v>10112.387670521279</v>
      </c>
      <c r="E295">
        <v>263</v>
      </c>
      <c r="F295">
        <v>67645.028206508592</v>
      </c>
      <c r="H295">
        <v>263</v>
      </c>
      <c r="I295">
        <v>17551.253963514442</v>
      </c>
      <c r="K295">
        <v>263</v>
      </c>
      <c r="L295">
        <v>12113.527897231637</v>
      </c>
    </row>
    <row r="296" spans="2:12" x14ac:dyDescent="0.3">
      <c r="B296">
        <v>264</v>
      </c>
      <c r="C296">
        <v>10404.877579621203</v>
      </c>
      <c r="E296">
        <v>264</v>
      </c>
      <c r="F296">
        <v>69501.65086521607</v>
      </c>
      <c r="H296">
        <v>264</v>
      </c>
      <c r="I296">
        <v>21035.10541242313</v>
      </c>
      <c r="K296">
        <v>264</v>
      </c>
      <c r="L296">
        <v>18847.231678043219</v>
      </c>
    </row>
    <row r="297" spans="2:12" x14ac:dyDescent="0.3">
      <c r="B297">
        <v>265</v>
      </c>
      <c r="C297">
        <v>8943.7940432236683</v>
      </c>
      <c r="E297">
        <v>265</v>
      </c>
      <c r="F297">
        <v>75622.375529851211</v>
      </c>
      <c r="H297">
        <v>265</v>
      </c>
      <c r="I297">
        <v>9064.1110149514971</v>
      </c>
      <c r="K297">
        <v>265</v>
      </c>
      <c r="L297">
        <v>21287.542553370335</v>
      </c>
    </row>
    <row r="298" spans="2:12" x14ac:dyDescent="0.3">
      <c r="B298">
        <v>266</v>
      </c>
      <c r="C298">
        <v>3523.7243141632234</v>
      </c>
      <c r="E298">
        <v>266</v>
      </c>
      <c r="F298">
        <v>66026.151466450407</v>
      </c>
      <c r="H298">
        <v>266</v>
      </c>
      <c r="I298">
        <v>18803.104263594811</v>
      </c>
      <c r="K298">
        <v>266</v>
      </c>
      <c r="L298">
        <v>20094.480963959384</v>
      </c>
    </row>
    <row r="299" spans="2:12" x14ac:dyDescent="0.3">
      <c r="B299">
        <v>267</v>
      </c>
      <c r="C299">
        <v>8119.8760797321811</v>
      </c>
      <c r="E299">
        <v>267</v>
      </c>
      <c r="F299">
        <v>69674.853195858013</v>
      </c>
      <c r="H299">
        <v>267</v>
      </c>
      <c r="I299">
        <v>15559.987894999807</v>
      </c>
      <c r="K299">
        <v>267</v>
      </c>
      <c r="L299">
        <v>15740.69364013057</v>
      </c>
    </row>
    <row r="300" spans="2:12" x14ac:dyDescent="0.3">
      <c r="B300">
        <v>268</v>
      </c>
      <c r="C300">
        <v>3511.9843452896434</v>
      </c>
      <c r="E300">
        <v>268</v>
      </c>
      <c r="F300">
        <v>70578.799390178043</v>
      </c>
      <c r="H300">
        <v>268</v>
      </c>
      <c r="I300">
        <v>7853.7824690012785</v>
      </c>
      <c r="K300">
        <v>268</v>
      </c>
      <c r="L300">
        <v>17623.824808909227</v>
      </c>
    </row>
    <row r="301" spans="2:12" x14ac:dyDescent="0.3">
      <c r="B301">
        <v>269</v>
      </c>
      <c r="C301">
        <v>12118.158317337527</v>
      </c>
      <c r="E301">
        <v>269</v>
      </c>
      <c r="F301">
        <v>67814.42197296035</v>
      </c>
      <c r="H301">
        <v>269</v>
      </c>
      <c r="I301">
        <v>14628.908510891355</v>
      </c>
      <c r="K301">
        <v>269</v>
      </c>
      <c r="L301">
        <v>7511.1334049167808</v>
      </c>
    </row>
    <row r="302" spans="2:12" x14ac:dyDescent="0.3">
      <c r="B302">
        <v>270</v>
      </c>
      <c r="C302">
        <v>9874.4644124792321</v>
      </c>
      <c r="E302">
        <v>270</v>
      </c>
      <c r="F302">
        <v>75524.927252192254</v>
      </c>
      <c r="H302">
        <v>270</v>
      </c>
      <c r="I302">
        <v>19722.814633014688</v>
      </c>
      <c r="K302">
        <v>270</v>
      </c>
      <c r="L302">
        <v>22547.918304095256</v>
      </c>
    </row>
    <row r="303" spans="2:12" x14ac:dyDescent="0.3">
      <c r="B303">
        <v>271</v>
      </c>
      <c r="C303">
        <v>7044.3409049637239</v>
      </c>
      <c r="E303">
        <v>271</v>
      </c>
      <c r="F303">
        <v>74558.664991754762</v>
      </c>
      <c r="H303">
        <v>271</v>
      </c>
      <c r="I303">
        <v>15834.493976965494</v>
      </c>
      <c r="K303">
        <v>271</v>
      </c>
      <c r="L303">
        <v>12628.205531615284</v>
      </c>
    </row>
    <row r="304" spans="2:12" x14ac:dyDescent="0.3">
      <c r="B304">
        <v>272</v>
      </c>
      <c r="C304">
        <v>10240.976484141254</v>
      </c>
      <c r="E304">
        <v>272</v>
      </c>
      <c r="F304">
        <v>64881.54760547859</v>
      </c>
      <c r="H304">
        <v>272</v>
      </c>
      <c r="I304">
        <v>18148.128582922778</v>
      </c>
      <c r="K304">
        <v>272</v>
      </c>
      <c r="L304">
        <v>15789.367884048159</v>
      </c>
    </row>
    <row r="305" spans="2:12" x14ac:dyDescent="0.3">
      <c r="B305">
        <v>273</v>
      </c>
      <c r="C305">
        <v>10555.987137811877</v>
      </c>
      <c r="E305">
        <v>273</v>
      </c>
      <c r="F305">
        <v>72464.44723736259</v>
      </c>
      <c r="H305">
        <v>273</v>
      </c>
      <c r="I305">
        <v>10463.778413683178</v>
      </c>
      <c r="K305">
        <v>273</v>
      </c>
      <c r="L305">
        <v>14824.172323636834</v>
      </c>
    </row>
    <row r="306" spans="2:12" x14ac:dyDescent="0.3">
      <c r="B306">
        <v>274</v>
      </c>
      <c r="C306">
        <v>6141.3387124222509</v>
      </c>
      <c r="E306">
        <v>274</v>
      </c>
      <c r="F306">
        <v>62624.993698318634</v>
      </c>
      <c r="H306">
        <v>274</v>
      </c>
      <c r="I306">
        <v>10632.701898540288</v>
      </c>
      <c r="K306">
        <v>274</v>
      </c>
      <c r="L306">
        <v>15241.431412221593</v>
      </c>
    </row>
    <row r="307" spans="2:12" x14ac:dyDescent="0.3">
      <c r="B307">
        <v>275</v>
      </c>
      <c r="C307">
        <v>7498.1587135983546</v>
      </c>
      <c r="E307">
        <v>275</v>
      </c>
      <c r="F307">
        <v>77663.171929393517</v>
      </c>
      <c r="H307">
        <v>275</v>
      </c>
      <c r="I307">
        <v>17859.689723861178</v>
      </c>
      <c r="K307">
        <v>275</v>
      </c>
      <c r="L307">
        <v>6024.3380453583468</v>
      </c>
    </row>
    <row r="308" spans="2:12" x14ac:dyDescent="0.3">
      <c r="B308">
        <v>276</v>
      </c>
      <c r="C308">
        <v>4388.6461392716647</v>
      </c>
      <c r="E308">
        <v>276</v>
      </c>
      <c r="F308">
        <v>61059.323761800944</v>
      </c>
      <c r="H308">
        <v>276</v>
      </c>
      <c r="I308">
        <v>18149.324644432178</v>
      </c>
      <c r="K308">
        <v>276</v>
      </c>
      <c r="L308">
        <v>19102.892147874885</v>
      </c>
    </row>
    <row r="309" spans="2:12" x14ac:dyDescent="0.3">
      <c r="B309">
        <v>277</v>
      </c>
      <c r="C309">
        <v>6954.3971795947609</v>
      </c>
      <c r="E309">
        <v>277</v>
      </c>
      <c r="F309">
        <v>64745.646697438984</v>
      </c>
      <c r="H309">
        <v>277</v>
      </c>
      <c r="I309">
        <v>14616.0446953344</v>
      </c>
      <c r="K309">
        <v>277</v>
      </c>
      <c r="L309">
        <v>16078.870503996342</v>
      </c>
    </row>
    <row r="310" spans="2:12" x14ac:dyDescent="0.3">
      <c r="B310">
        <v>278</v>
      </c>
      <c r="C310">
        <v>7218.4814366061746</v>
      </c>
      <c r="E310">
        <v>278</v>
      </c>
      <c r="F310">
        <v>74253.19739142865</v>
      </c>
      <c r="H310">
        <v>278</v>
      </c>
      <c r="I310">
        <v>21944.261213787544</v>
      </c>
      <c r="K310">
        <v>278</v>
      </c>
      <c r="L310">
        <v>26201.884381111584</v>
      </c>
    </row>
    <row r="311" spans="2:12" x14ac:dyDescent="0.3">
      <c r="B311">
        <v>279</v>
      </c>
      <c r="C311">
        <v>5630.8559572874083</v>
      </c>
      <c r="E311">
        <v>279</v>
      </c>
      <c r="F311">
        <v>62342.989347074574</v>
      </c>
      <c r="H311">
        <v>279</v>
      </c>
      <c r="I311">
        <v>10135.098654265947</v>
      </c>
      <c r="K311">
        <v>279</v>
      </c>
      <c r="L311">
        <v>27117.012194575174</v>
      </c>
    </row>
    <row r="312" spans="2:12" x14ac:dyDescent="0.3">
      <c r="B312">
        <v>280</v>
      </c>
      <c r="C312">
        <v>10462.313489563257</v>
      </c>
      <c r="E312">
        <v>280</v>
      </c>
      <c r="F312">
        <v>72838.11576198721</v>
      </c>
      <c r="H312">
        <v>280</v>
      </c>
      <c r="I312">
        <v>13045.165407570405</v>
      </c>
      <c r="K312">
        <v>280</v>
      </c>
      <c r="L312">
        <v>23645.225590869399</v>
      </c>
    </row>
    <row r="313" spans="2:12" x14ac:dyDescent="0.3">
      <c r="B313">
        <v>281</v>
      </c>
      <c r="C313">
        <v>4174.9794538451288</v>
      </c>
      <c r="E313">
        <v>281</v>
      </c>
      <c r="F313">
        <v>76157.850522479552</v>
      </c>
      <c r="H313">
        <v>281</v>
      </c>
      <c r="I313">
        <v>18064.2740443527</v>
      </c>
      <c r="K313">
        <v>281</v>
      </c>
      <c r="L313">
        <v>13190.951467886316</v>
      </c>
    </row>
    <row r="314" spans="2:12" x14ac:dyDescent="0.3">
      <c r="B314">
        <v>282</v>
      </c>
      <c r="C314">
        <v>9053.9371705130688</v>
      </c>
      <c r="E314">
        <v>282</v>
      </c>
      <c r="F314">
        <v>68513.731452491396</v>
      </c>
      <c r="H314">
        <v>282</v>
      </c>
      <c r="I314">
        <v>16287.200995522391</v>
      </c>
      <c r="K314">
        <v>282</v>
      </c>
      <c r="L314">
        <v>24910.302058020046</v>
      </c>
    </row>
    <row r="315" spans="2:12" x14ac:dyDescent="0.3">
      <c r="B315">
        <v>283</v>
      </c>
      <c r="C315">
        <v>9127.1530556646394</v>
      </c>
      <c r="E315">
        <v>283</v>
      </c>
      <c r="F315">
        <v>74146.281786763924</v>
      </c>
      <c r="H315">
        <v>283</v>
      </c>
      <c r="I315">
        <v>7837.1324921924652</v>
      </c>
      <c r="K315">
        <v>283</v>
      </c>
      <c r="L315">
        <v>7506.7097192442043</v>
      </c>
    </row>
    <row r="316" spans="2:12" x14ac:dyDescent="0.3">
      <c r="B316">
        <v>284</v>
      </c>
      <c r="C316">
        <v>4205.1536090972331</v>
      </c>
      <c r="E316">
        <v>284</v>
      </c>
      <c r="F316">
        <v>70333.133697401761</v>
      </c>
      <c r="H316">
        <v>284</v>
      </c>
      <c r="I316">
        <v>7116.1292774724461</v>
      </c>
      <c r="K316">
        <v>284</v>
      </c>
      <c r="L316">
        <v>21113.14938011608</v>
      </c>
    </row>
    <row r="317" spans="2:12" x14ac:dyDescent="0.3">
      <c r="B317">
        <v>285</v>
      </c>
      <c r="C317">
        <v>1611.5104847249718</v>
      </c>
      <c r="E317">
        <v>285</v>
      </c>
      <c r="F317">
        <v>63610.14953613258</v>
      </c>
      <c r="H317">
        <v>285</v>
      </c>
      <c r="I317">
        <v>22124.968657804046</v>
      </c>
      <c r="K317">
        <v>285</v>
      </c>
      <c r="L317">
        <v>11342.287676434204</v>
      </c>
    </row>
    <row r="318" spans="2:12" x14ac:dyDescent="0.3">
      <c r="B318">
        <v>286</v>
      </c>
      <c r="C318">
        <v>8673.1425200898957</v>
      </c>
      <c r="E318">
        <v>286</v>
      </c>
      <c r="F318">
        <v>78273.364889169185</v>
      </c>
      <c r="H318">
        <v>286</v>
      </c>
      <c r="I318">
        <v>15527.641105778361</v>
      </c>
      <c r="K318">
        <v>286</v>
      </c>
      <c r="L318">
        <v>8707.4087501824397</v>
      </c>
    </row>
    <row r="319" spans="2:12" x14ac:dyDescent="0.3">
      <c r="B319">
        <v>287</v>
      </c>
      <c r="C319">
        <v>3640.4684298020779</v>
      </c>
      <c r="E319">
        <v>287</v>
      </c>
      <c r="F319">
        <v>75590.133417673904</v>
      </c>
      <c r="H319">
        <v>287</v>
      </c>
      <c r="I319">
        <v>11619.82319964455</v>
      </c>
      <c r="K319">
        <v>287</v>
      </c>
      <c r="L319">
        <v>8400.6151383568395</v>
      </c>
    </row>
    <row r="320" spans="2:12" x14ac:dyDescent="0.3">
      <c r="B320">
        <v>288</v>
      </c>
      <c r="C320">
        <v>3023.0147145818069</v>
      </c>
      <c r="E320">
        <v>288</v>
      </c>
      <c r="F320">
        <v>73618.827697839763</v>
      </c>
      <c r="H320">
        <v>288</v>
      </c>
      <c r="I320">
        <v>14708.325918307879</v>
      </c>
      <c r="K320">
        <v>288</v>
      </c>
      <c r="L320">
        <v>20526.027138527574</v>
      </c>
    </row>
    <row r="321" spans="2:12" x14ac:dyDescent="0.3">
      <c r="B321">
        <v>289</v>
      </c>
      <c r="C321">
        <v>8146.6837120399077</v>
      </c>
      <c r="E321">
        <v>289</v>
      </c>
      <c r="F321">
        <v>74576.02523550007</v>
      </c>
      <c r="H321">
        <v>289</v>
      </c>
      <c r="I321">
        <v>11246.613673615469</v>
      </c>
      <c r="K321">
        <v>289</v>
      </c>
      <c r="L321">
        <v>14568.312035522282</v>
      </c>
    </row>
    <row r="322" spans="2:12" x14ac:dyDescent="0.3">
      <c r="B322">
        <v>290</v>
      </c>
      <c r="C322">
        <v>4093.2320874078932</v>
      </c>
      <c r="E322">
        <v>290</v>
      </c>
      <c r="F322">
        <v>65778.245041395698</v>
      </c>
      <c r="H322">
        <v>290</v>
      </c>
      <c r="I322">
        <v>16256.895358461461</v>
      </c>
      <c r="K322">
        <v>290</v>
      </c>
      <c r="L322">
        <v>23788.798483284532</v>
      </c>
    </row>
    <row r="323" spans="2:12" x14ac:dyDescent="0.3">
      <c r="B323">
        <v>291</v>
      </c>
      <c r="C323">
        <v>6392.9397044960206</v>
      </c>
      <c r="E323">
        <v>291</v>
      </c>
      <c r="F323">
        <v>73514.664872911861</v>
      </c>
      <c r="H323">
        <v>291</v>
      </c>
      <c r="I323">
        <v>7882.5770173959227</v>
      </c>
      <c r="K323">
        <v>291</v>
      </c>
      <c r="L323">
        <v>21976.871752533545</v>
      </c>
    </row>
    <row r="324" spans="2:12" x14ac:dyDescent="0.3">
      <c r="B324">
        <v>292</v>
      </c>
      <c r="C324">
        <v>11482.769123120805</v>
      </c>
      <c r="E324">
        <v>292</v>
      </c>
      <c r="F324">
        <v>74362.312660182622</v>
      </c>
      <c r="H324">
        <v>292</v>
      </c>
      <c r="I324">
        <v>22043.493131257273</v>
      </c>
      <c r="K324">
        <v>292</v>
      </c>
      <c r="L324">
        <v>13430.550411251792</v>
      </c>
    </row>
    <row r="325" spans="2:12" x14ac:dyDescent="0.3">
      <c r="B325">
        <v>293</v>
      </c>
      <c r="C325">
        <v>10382.203344561221</v>
      </c>
      <c r="E325">
        <v>293</v>
      </c>
      <c r="F325">
        <v>67501.965098893867</v>
      </c>
      <c r="H325">
        <v>293</v>
      </c>
      <c r="I325">
        <v>8688.7657197012413</v>
      </c>
      <c r="K325">
        <v>293</v>
      </c>
      <c r="L325">
        <v>19409.487752118388</v>
      </c>
    </row>
    <row r="326" spans="2:12" x14ac:dyDescent="0.3">
      <c r="B326">
        <v>294</v>
      </c>
      <c r="C326">
        <v>6717.1856422417995</v>
      </c>
      <c r="E326">
        <v>294</v>
      </c>
      <c r="F326">
        <v>76187.406284199489</v>
      </c>
      <c r="H326">
        <v>294</v>
      </c>
      <c r="I326">
        <v>2675.5058595721966</v>
      </c>
      <c r="K326">
        <v>294</v>
      </c>
      <c r="L326">
        <v>26482.253780880706</v>
      </c>
    </row>
    <row r="327" spans="2:12" x14ac:dyDescent="0.3">
      <c r="B327">
        <v>295</v>
      </c>
      <c r="C327">
        <v>11129.26032761609</v>
      </c>
      <c r="E327">
        <v>295</v>
      </c>
      <c r="F327">
        <v>69115.351060405068</v>
      </c>
      <c r="H327">
        <v>295</v>
      </c>
      <c r="I327">
        <v>13010.448694358807</v>
      </c>
      <c r="K327">
        <v>295</v>
      </c>
      <c r="L327">
        <v>23299.4573122199</v>
      </c>
    </row>
    <row r="328" spans="2:12" x14ac:dyDescent="0.3">
      <c r="B328">
        <v>296</v>
      </c>
      <c r="C328">
        <v>9138.6254565485378</v>
      </c>
      <c r="E328">
        <v>296</v>
      </c>
      <c r="F328">
        <v>71888.898116567609</v>
      </c>
      <c r="H328">
        <v>296</v>
      </c>
      <c r="I328">
        <v>12346.081188194383</v>
      </c>
      <c r="K328">
        <v>296</v>
      </c>
      <c r="L328">
        <v>29774.545372381654</v>
      </c>
    </row>
    <row r="329" spans="2:12" x14ac:dyDescent="0.3">
      <c r="B329">
        <v>297</v>
      </c>
      <c r="C329">
        <v>6890.9787716922028</v>
      </c>
      <c r="E329">
        <v>297</v>
      </c>
      <c r="F329">
        <v>74608.730925701937</v>
      </c>
      <c r="H329">
        <v>297</v>
      </c>
      <c r="I329">
        <v>16970.460564034402</v>
      </c>
      <c r="K329">
        <v>297</v>
      </c>
      <c r="L329">
        <v>12464.132075946167</v>
      </c>
    </row>
    <row r="330" spans="2:12" x14ac:dyDescent="0.3">
      <c r="B330">
        <v>298</v>
      </c>
      <c r="C330">
        <v>4016.3336135563459</v>
      </c>
      <c r="E330">
        <v>298</v>
      </c>
      <c r="F330">
        <v>74741.35814205058</v>
      </c>
      <c r="H330">
        <v>298</v>
      </c>
      <c r="I330">
        <v>19177.247208718538</v>
      </c>
      <c r="K330">
        <v>298</v>
      </c>
      <c r="L330">
        <v>14832.28715953133</v>
      </c>
    </row>
    <row r="331" spans="2:12" x14ac:dyDescent="0.3">
      <c r="B331">
        <v>299</v>
      </c>
      <c r="C331">
        <v>6888.765583876303</v>
      </c>
      <c r="E331">
        <v>299</v>
      </c>
      <c r="F331">
        <v>68524.964675573196</v>
      </c>
      <c r="H331">
        <v>299</v>
      </c>
      <c r="I331">
        <v>6104.2548550693082</v>
      </c>
      <c r="K331">
        <v>299</v>
      </c>
      <c r="L331">
        <v>22147.008381680585</v>
      </c>
    </row>
    <row r="332" spans="2:12" x14ac:dyDescent="0.3">
      <c r="B332">
        <v>300</v>
      </c>
      <c r="C332">
        <v>7813.799617630727</v>
      </c>
      <c r="E332">
        <v>300</v>
      </c>
      <c r="F332">
        <v>66143.097003560702</v>
      </c>
      <c r="H332">
        <v>300</v>
      </c>
      <c r="I332">
        <v>14803.914757118229</v>
      </c>
      <c r="K332">
        <v>300</v>
      </c>
      <c r="L332">
        <v>24132.846581428152</v>
      </c>
    </row>
    <row r="333" spans="2:12" x14ac:dyDescent="0.3">
      <c r="B333">
        <v>301</v>
      </c>
      <c r="C333">
        <v>10489.766792920153</v>
      </c>
      <c r="E333">
        <v>301</v>
      </c>
      <c r="F333">
        <v>67202.145759185878</v>
      </c>
      <c r="H333">
        <v>301</v>
      </c>
      <c r="I333">
        <v>18480.52162113144</v>
      </c>
      <c r="K333">
        <v>301</v>
      </c>
      <c r="L333">
        <v>25193.56639164505</v>
      </c>
    </row>
    <row r="334" spans="2:12" x14ac:dyDescent="0.3">
      <c r="B334">
        <v>302</v>
      </c>
      <c r="C334">
        <v>11624.348632150539</v>
      </c>
      <c r="E334">
        <v>302</v>
      </c>
      <c r="F334">
        <v>73547.200107004159</v>
      </c>
      <c r="H334">
        <v>302</v>
      </c>
      <c r="I334">
        <v>20996.461748796799</v>
      </c>
      <c r="K334">
        <v>302</v>
      </c>
      <c r="L334">
        <v>23989.610731442674</v>
      </c>
    </row>
    <row r="335" spans="2:12" x14ac:dyDescent="0.3">
      <c r="B335">
        <v>303</v>
      </c>
      <c r="C335">
        <v>8411.1149379715971</v>
      </c>
      <c r="E335">
        <v>303</v>
      </c>
      <c r="F335">
        <v>76457.691546291127</v>
      </c>
      <c r="H335">
        <v>303</v>
      </c>
      <c r="I335">
        <v>20028.560369071951</v>
      </c>
      <c r="K335">
        <v>303</v>
      </c>
      <c r="L335">
        <v>12922.806313145398</v>
      </c>
    </row>
    <row r="336" spans="2:12" x14ac:dyDescent="0.3">
      <c r="B336">
        <v>304</v>
      </c>
      <c r="C336">
        <v>4044.7369660464656</v>
      </c>
      <c r="E336">
        <v>304</v>
      </c>
      <c r="F336">
        <v>66647.311665614179</v>
      </c>
      <c r="H336">
        <v>304</v>
      </c>
      <c r="I336">
        <v>11695.238682502135</v>
      </c>
      <c r="K336">
        <v>304</v>
      </c>
      <c r="L336">
        <v>14459.403155169965</v>
      </c>
    </row>
    <row r="337" spans="2:12" x14ac:dyDescent="0.3">
      <c r="B337">
        <v>305</v>
      </c>
      <c r="C337">
        <v>4567.1375092219287</v>
      </c>
      <c r="E337">
        <v>305</v>
      </c>
      <c r="F337">
        <v>65461.800833819681</v>
      </c>
      <c r="H337">
        <v>305</v>
      </c>
      <c r="I337">
        <v>17431.620236587813</v>
      </c>
      <c r="K337">
        <v>305</v>
      </c>
      <c r="L337">
        <v>21778.436683861266</v>
      </c>
    </row>
    <row r="338" spans="2:12" x14ac:dyDescent="0.3">
      <c r="B338">
        <v>306</v>
      </c>
      <c r="C338">
        <v>10904.221512657423</v>
      </c>
      <c r="E338">
        <v>306</v>
      </c>
      <c r="F338">
        <v>63945.034423775687</v>
      </c>
      <c r="H338">
        <v>306</v>
      </c>
      <c r="I338">
        <v>18598.512478334567</v>
      </c>
      <c r="K338">
        <v>306</v>
      </c>
      <c r="L338">
        <v>18822.346126026547</v>
      </c>
    </row>
    <row r="339" spans="2:12" x14ac:dyDescent="0.3">
      <c r="B339">
        <v>307</v>
      </c>
      <c r="C339">
        <v>5116.248745678341</v>
      </c>
      <c r="E339">
        <v>307</v>
      </c>
      <c r="F339">
        <v>74081.817084999624</v>
      </c>
      <c r="H339">
        <v>307</v>
      </c>
      <c r="I339">
        <v>13813.280393932306</v>
      </c>
      <c r="K339">
        <v>307</v>
      </c>
      <c r="L339">
        <v>25139.502266010077</v>
      </c>
    </row>
    <row r="340" spans="2:12" x14ac:dyDescent="0.3">
      <c r="B340">
        <v>308</v>
      </c>
      <c r="C340">
        <v>3907.4465837554417</v>
      </c>
      <c r="E340">
        <v>308</v>
      </c>
      <c r="F340">
        <v>79794.845532318694</v>
      </c>
      <c r="H340">
        <v>308</v>
      </c>
      <c r="I340">
        <v>8328.0148062953485</v>
      </c>
      <c r="K340">
        <v>308</v>
      </c>
      <c r="L340">
        <v>4913.0168147346649</v>
      </c>
    </row>
    <row r="341" spans="2:12" x14ac:dyDescent="0.3">
      <c r="B341">
        <v>309</v>
      </c>
      <c r="C341">
        <v>11455.4593480781</v>
      </c>
      <c r="E341">
        <v>309</v>
      </c>
      <c r="F341">
        <v>69223.43668250191</v>
      </c>
      <c r="H341">
        <v>309</v>
      </c>
      <c r="I341">
        <v>9809.7499445947997</v>
      </c>
      <c r="K341">
        <v>309</v>
      </c>
      <c r="L341">
        <v>18113.841230164482</v>
      </c>
    </row>
    <row r="342" spans="2:12" x14ac:dyDescent="0.3">
      <c r="B342">
        <v>310</v>
      </c>
      <c r="C342">
        <v>9766.2064942669876</v>
      </c>
      <c r="E342">
        <v>310</v>
      </c>
      <c r="F342">
        <v>75284.478082814894</v>
      </c>
      <c r="H342">
        <v>310</v>
      </c>
      <c r="I342">
        <v>19835.108123950471</v>
      </c>
      <c r="K342">
        <v>310</v>
      </c>
      <c r="L342">
        <v>25146.979533000413</v>
      </c>
    </row>
    <row r="343" spans="2:12" x14ac:dyDescent="0.3">
      <c r="B343">
        <v>311</v>
      </c>
      <c r="C343">
        <v>5702.9133216523342</v>
      </c>
      <c r="E343">
        <v>311</v>
      </c>
      <c r="F343">
        <v>63379.697092005197</v>
      </c>
      <c r="H343">
        <v>311</v>
      </c>
      <c r="I343">
        <v>14377.460281626458</v>
      </c>
      <c r="K343">
        <v>311</v>
      </c>
      <c r="L343">
        <v>27772.795842562726</v>
      </c>
    </row>
    <row r="344" spans="2:12" x14ac:dyDescent="0.3">
      <c r="B344">
        <v>312</v>
      </c>
      <c r="C344">
        <v>9482.6933075400084</v>
      </c>
      <c r="E344">
        <v>312</v>
      </c>
      <c r="F344">
        <v>76922.76308467699</v>
      </c>
      <c r="H344">
        <v>312</v>
      </c>
      <c r="I344">
        <v>12044.489029307762</v>
      </c>
      <c r="K344">
        <v>312</v>
      </c>
      <c r="L344">
        <v>27088.836749213599</v>
      </c>
    </row>
    <row r="345" spans="2:12" x14ac:dyDescent="0.3">
      <c r="B345">
        <v>313</v>
      </c>
      <c r="C345">
        <v>5153.1930515555341</v>
      </c>
      <c r="E345">
        <v>313</v>
      </c>
      <c r="F345">
        <v>77703.282866744514</v>
      </c>
      <c r="H345">
        <v>313</v>
      </c>
      <c r="I345">
        <v>10438.844325038226</v>
      </c>
      <c r="K345">
        <v>313</v>
      </c>
      <c r="L345">
        <v>8450.9142855687696</v>
      </c>
    </row>
    <row r="346" spans="2:12" x14ac:dyDescent="0.3">
      <c r="B346">
        <v>314</v>
      </c>
      <c r="C346">
        <v>5121.3687443530216</v>
      </c>
      <c r="E346">
        <v>314</v>
      </c>
      <c r="F346">
        <v>70966.841184450968</v>
      </c>
      <c r="H346">
        <v>314</v>
      </c>
      <c r="I346">
        <v>14361.254808457892</v>
      </c>
      <c r="K346">
        <v>314</v>
      </c>
      <c r="L346">
        <v>25692.147283899034</v>
      </c>
    </row>
    <row r="347" spans="2:12" x14ac:dyDescent="0.3">
      <c r="B347">
        <v>315</v>
      </c>
      <c r="C347">
        <v>6719.619140693856</v>
      </c>
      <c r="E347">
        <v>315</v>
      </c>
      <c r="F347">
        <v>75601.839570568322</v>
      </c>
      <c r="H347">
        <v>315</v>
      </c>
      <c r="I347">
        <v>11622.342976626172</v>
      </c>
      <c r="K347">
        <v>315</v>
      </c>
      <c r="L347">
        <v>6463.0339955767895</v>
      </c>
    </row>
    <row r="348" spans="2:12" x14ac:dyDescent="0.3">
      <c r="B348">
        <v>316</v>
      </c>
      <c r="C348">
        <v>4953.658580719004</v>
      </c>
      <c r="E348">
        <v>316</v>
      </c>
      <c r="F348">
        <v>77784.614269716389</v>
      </c>
      <c r="H348">
        <v>316</v>
      </c>
      <c r="I348">
        <v>13301.91921737237</v>
      </c>
      <c r="K348">
        <v>316</v>
      </c>
      <c r="L348">
        <v>22554.601843430439</v>
      </c>
    </row>
    <row r="349" spans="2:12" x14ac:dyDescent="0.3">
      <c r="B349">
        <v>317</v>
      </c>
      <c r="C349">
        <v>5297.7030661502431</v>
      </c>
      <c r="E349">
        <v>317</v>
      </c>
      <c r="F349">
        <v>76191.598612375063</v>
      </c>
      <c r="H349">
        <v>317</v>
      </c>
      <c r="I349">
        <v>11705.030035720936</v>
      </c>
      <c r="K349">
        <v>317</v>
      </c>
      <c r="L349">
        <v>15347.80263234487</v>
      </c>
    </row>
    <row r="350" spans="2:12" x14ac:dyDescent="0.3">
      <c r="B350">
        <v>318</v>
      </c>
      <c r="C350">
        <v>4579.5210046219581</v>
      </c>
      <c r="E350">
        <v>318</v>
      </c>
      <c r="F350">
        <v>76592.033550794309</v>
      </c>
      <c r="H350">
        <v>318</v>
      </c>
      <c r="I350">
        <v>10944.417776030858</v>
      </c>
      <c r="K350">
        <v>318</v>
      </c>
      <c r="L350">
        <v>19066.758539223323</v>
      </c>
    </row>
    <row r="351" spans="2:12" x14ac:dyDescent="0.3">
      <c r="B351">
        <v>319</v>
      </c>
      <c r="C351">
        <v>9529.0044495641832</v>
      </c>
      <c r="E351">
        <v>319</v>
      </c>
      <c r="F351">
        <v>77768.564940300887</v>
      </c>
      <c r="H351">
        <v>319</v>
      </c>
      <c r="I351">
        <v>10380.039583839991</v>
      </c>
      <c r="K351">
        <v>319</v>
      </c>
      <c r="L351">
        <v>19935.508626032442</v>
      </c>
    </row>
    <row r="352" spans="2:12" x14ac:dyDescent="0.3">
      <c r="B352">
        <v>320</v>
      </c>
      <c r="C352">
        <v>6913.295863130973</v>
      </c>
      <c r="E352">
        <v>320</v>
      </c>
      <c r="F352">
        <v>76591.329277825673</v>
      </c>
      <c r="H352">
        <v>320</v>
      </c>
      <c r="I352">
        <v>12201.770558125017</v>
      </c>
      <c r="K352">
        <v>320</v>
      </c>
      <c r="L352">
        <v>14572.742176268483</v>
      </c>
    </row>
    <row r="353" spans="2:12" x14ac:dyDescent="0.3">
      <c r="B353">
        <v>321</v>
      </c>
      <c r="C353">
        <v>9240.2539920064428</v>
      </c>
      <c r="E353">
        <v>321</v>
      </c>
      <c r="F353">
        <v>75987.774322259211</v>
      </c>
      <c r="H353">
        <v>321</v>
      </c>
      <c r="I353">
        <v>9324.281901083792</v>
      </c>
      <c r="K353">
        <v>321</v>
      </c>
      <c r="L353">
        <v>21578.477774998322</v>
      </c>
    </row>
    <row r="354" spans="2:12" x14ac:dyDescent="0.3">
      <c r="B354">
        <v>322</v>
      </c>
      <c r="C354">
        <v>7160.7717298756406</v>
      </c>
      <c r="E354">
        <v>322</v>
      </c>
      <c r="F354">
        <v>63707.425245072845</v>
      </c>
      <c r="H354">
        <v>322</v>
      </c>
      <c r="I354">
        <v>5924.7168326629408</v>
      </c>
      <c r="K354">
        <v>322</v>
      </c>
      <c r="L354">
        <v>21003.051181376417</v>
      </c>
    </row>
    <row r="355" spans="2:12" x14ac:dyDescent="0.3">
      <c r="B355">
        <v>323</v>
      </c>
      <c r="C355">
        <v>8316.2443145013131</v>
      </c>
      <c r="E355">
        <v>323</v>
      </c>
      <c r="F355">
        <v>76172.606536532097</v>
      </c>
      <c r="H355">
        <v>323</v>
      </c>
      <c r="I355">
        <v>8440.5156422099135</v>
      </c>
      <c r="K355">
        <v>323</v>
      </c>
      <c r="L355">
        <v>11980.479818302818</v>
      </c>
    </row>
    <row r="356" spans="2:12" x14ac:dyDescent="0.3">
      <c r="B356">
        <v>324</v>
      </c>
      <c r="C356">
        <v>2785.9795855247739</v>
      </c>
      <c r="E356">
        <v>324</v>
      </c>
      <c r="F356">
        <v>62929.537584143014</v>
      </c>
      <c r="H356">
        <v>324</v>
      </c>
      <c r="I356">
        <v>15203.067358028658</v>
      </c>
      <c r="K356">
        <v>324</v>
      </c>
      <c r="L356">
        <v>16944.711083749651</v>
      </c>
    </row>
    <row r="357" spans="2:12" x14ac:dyDescent="0.3">
      <c r="B357">
        <v>325</v>
      </c>
      <c r="C357">
        <v>6835.578799257476</v>
      </c>
      <c r="E357">
        <v>325</v>
      </c>
      <c r="F357">
        <v>63597.203691526069</v>
      </c>
      <c r="H357">
        <v>325</v>
      </c>
      <c r="I357">
        <v>11539.786285671476</v>
      </c>
      <c r="K357">
        <v>325</v>
      </c>
      <c r="L357">
        <v>22829.352930737532</v>
      </c>
    </row>
    <row r="358" spans="2:12" x14ac:dyDescent="0.3">
      <c r="B358">
        <v>326</v>
      </c>
      <c r="C358">
        <v>11485.985969423078</v>
      </c>
      <c r="E358">
        <v>326</v>
      </c>
      <c r="F358">
        <v>77780.566204263057</v>
      </c>
      <c r="H358">
        <v>326</v>
      </c>
      <c r="I358">
        <v>6662.1822645077009</v>
      </c>
      <c r="K358">
        <v>326</v>
      </c>
      <c r="L358">
        <v>12389.097386673382</v>
      </c>
    </row>
    <row r="359" spans="2:12" x14ac:dyDescent="0.3">
      <c r="B359">
        <v>327</v>
      </c>
      <c r="C359">
        <v>5804.6617966548556</v>
      </c>
      <c r="E359">
        <v>327</v>
      </c>
      <c r="F359">
        <v>74979.212818500528</v>
      </c>
      <c r="H359">
        <v>327</v>
      </c>
      <c r="I359">
        <v>11592.315927672724</v>
      </c>
      <c r="K359">
        <v>327</v>
      </c>
      <c r="L359">
        <v>12392.119431966032</v>
      </c>
    </row>
    <row r="360" spans="2:12" x14ac:dyDescent="0.3">
      <c r="B360">
        <v>328</v>
      </c>
      <c r="C360">
        <v>8270.8486516917219</v>
      </c>
      <c r="E360">
        <v>328</v>
      </c>
      <c r="F360">
        <v>72365.273366530557</v>
      </c>
      <c r="H360">
        <v>328</v>
      </c>
      <c r="I360">
        <v>12710.32526138168</v>
      </c>
      <c r="K360">
        <v>328</v>
      </c>
      <c r="L360">
        <v>11890.065217720856</v>
      </c>
    </row>
    <row r="361" spans="2:12" x14ac:dyDescent="0.3">
      <c r="B361">
        <v>329</v>
      </c>
      <c r="C361">
        <v>7064.1244895047048</v>
      </c>
      <c r="E361">
        <v>329</v>
      </c>
      <c r="F361">
        <v>74984.920781035282</v>
      </c>
      <c r="H361">
        <v>329</v>
      </c>
      <c r="I361">
        <v>15329.152131301704</v>
      </c>
      <c r="K361">
        <v>329</v>
      </c>
      <c r="L361">
        <v>23743.054615262037</v>
      </c>
    </row>
    <row r="362" spans="2:12" x14ac:dyDescent="0.3">
      <c r="B362">
        <v>330</v>
      </c>
      <c r="C362">
        <v>5769.6885183409267</v>
      </c>
      <c r="E362">
        <v>330</v>
      </c>
      <c r="F362">
        <v>75256.521171678003</v>
      </c>
      <c r="H362">
        <v>330</v>
      </c>
      <c r="I362">
        <v>11301.439167845288</v>
      </c>
      <c r="K362">
        <v>330</v>
      </c>
      <c r="L362">
        <v>27781.633339167693</v>
      </c>
    </row>
    <row r="363" spans="2:12" x14ac:dyDescent="0.3">
      <c r="B363">
        <v>331</v>
      </c>
      <c r="C363">
        <v>8919.1727257834318</v>
      </c>
      <c r="E363">
        <v>331</v>
      </c>
      <c r="F363">
        <v>66664.110879373999</v>
      </c>
      <c r="H363">
        <v>331</v>
      </c>
      <c r="I363">
        <v>21236.378634459052</v>
      </c>
      <c r="K363">
        <v>331</v>
      </c>
      <c r="L363">
        <v>29226.676162545686</v>
      </c>
    </row>
    <row r="364" spans="2:12" x14ac:dyDescent="0.3">
      <c r="B364">
        <v>332</v>
      </c>
      <c r="C364">
        <v>2533.1233302902942</v>
      </c>
      <c r="E364">
        <v>332</v>
      </c>
      <c r="F364">
        <v>71518.310749152093</v>
      </c>
      <c r="H364">
        <v>332</v>
      </c>
      <c r="I364">
        <v>17257.54042364801</v>
      </c>
      <c r="K364">
        <v>332</v>
      </c>
      <c r="L364">
        <v>23569.160848459029</v>
      </c>
    </row>
    <row r="365" spans="2:12" x14ac:dyDescent="0.3">
      <c r="B365">
        <v>333</v>
      </c>
      <c r="C365">
        <v>7056.3959441408815</v>
      </c>
      <c r="E365">
        <v>333</v>
      </c>
      <c r="F365">
        <v>75929.95380570124</v>
      </c>
      <c r="H365">
        <v>333</v>
      </c>
      <c r="I365">
        <v>10147.946116830291</v>
      </c>
      <c r="K365">
        <v>333</v>
      </c>
      <c r="L365">
        <v>8382.7878578154723</v>
      </c>
    </row>
    <row r="366" spans="2:12" x14ac:dyDescent="0.3">
      <c r="B366">
        <v>334</v>
      </c>
      <c r="C366">
        <v>6212.994673117335</v>
      </c>
      <c r="E366">
        <v>334</v>
      </c>
      <c r="F366">
        <v>69988.540739954624</v>
      </c>
      <c r="H366">
        <v>334</v>
      </c>
      <c r="I366">
        <v>15457.272934937724</v>
      </c>
      <c r="K366">
        <v>334</v>
      </c>
      <c r="L366">
        <v>19548.470336571816</v>
      </c>
    </row>
    <row r="367" spans="2:12" x14ac:dyDescent="0.3">
      <c r="B367">
        <v>335</v>
      </c>
      <c r="C367">
        <v>5761.3271084858306</v>
      </c>
      <c r="E367">
        <v>335</v>
      </c>
      <c r="F367">
        <v>66876.545813297955</v>
      </c>
      <c r="H367">
        <v>335</v>
      </c>
      <c r="I367">
        <v>15082.183186924682</v>
      </c>
      <c r="K367">
        <v>335</v>
      </c>
      <c r="L367">
        <v>11735.108335343093</v>
      </c>
    </row>
    <row r="368" spans="2:12" x14ac:dyDescent="0.3">
      <c r="B368">
        <v>336</v>
      </c>
      <c r="C368">
        <v>9024.4660894399149</v>
      </c>
      <c r="E368">
        <v>336</v>
      </c>
      <c r="F368">
        <v>75886.59261479009</v>
      </c>
      <c r="H368">
        <v>336</v>
      </c>
      <c r="I368">
        <v>8238.0918171771809</v>
      </c>
      <c r="K368">
        <v>336</v>
      </c>
      <c r="L368">
        <v>19069.081046183383</v>
      </c>
    </row>
    <row r="369" spans="2:12" x14ac:dyDescent="0.3">
      <c r="B369">
        <v>337</v>
      </c>
      <c r="C369">
        <v>4351.9592112642458</v>
      </c>
      <c r="E369">
        <v>337</v>
      </c>
      <c r="F369">
        <v>74969.623293448662</v>
      </c>
      <c r="H369">
        <v>337</v>
      </c>
      <c r="I369">
        <v>16127.087509729768</v>
      </c>
      <c r="K369">
        <v>337</v>
      </c>
      <c r="L369">
        <v>8923.3485131418165</v>
      </c>
    </row>
    <row r="370" spans="2:12" x14ac:dyDescent="0.3">
      <c r="B370">
        <v>338</v>
      </c>
      <c r="C370">
        <v>4518.9287395567662</v>
      </c>
      <c r="E370">
        <v>338</v>
      </c>
      <c r="F370">
        <v>68137.707434225187</v>
      </c>
      <c r="H370">
        <v>338</v>
      </c>
      <c r="I370">
        <v>14556.822668119403</v>
      </c>
      <c r="K370">
        <v>338</v>
      </c>
      <c r="L370">
        <v>16909.707236934693</v>
      </c>
    </row>
    <row r="371" spans="2:12" x14ac:dyDescent="0.3">
      <c r="B371">
        <v>339</v>
      </c>
      <c r="C371">
        <v>3874.872097491334</v>
      </c>
      <c r="E371">
        <v>339</v>
      </c>
      <c r="F371">
        <v>68205.715960283851</v>
      </c>
      <c r="H371">
        <v>339</v>
      </c>
      <c r="I371">
        <v>6406.4624652903485</v>
      </c>
      <c r="K371">
        <v>339</v>
      </c>
      <c r="L371">
        <v>25989.85610128384</v>
      </c>
    </row>
    <row r="372" spans="2:12" x14ac:dyDescent="0.3">
      <c r="B372">
        <v>340</v>
      </c>
      <c r="C372">
        <v>9379.4829013920826</v>
      </c>
      <c r="E372">
        <v>340</v>
      </c>
      <c r="F372">
        <v>80289.062235643098</v>
      </c>
      <c r="H372">
        <v>340</v>
      </c>
      <c r="I372">
        <v>21110.165440540863</v>
      </c>
      <c r="K372">
        <v>340</v>
      </c>
      <c r="L372">
        <v>10896.090489007214</v>
      </c>
    </row>
    <row r="373" spans="2:12" x14ac:dyDescent="0.3">
      <c r="B373">
        <v>341</v>
      </c>
      <c r="C373">
        <v>7713.4903930199016</v>
      </c>
      <c r="E373">
        <v>341</v>
      </c>
      <c r="F373">
        <v>66594.00541010387</v>
      </c>
      <c r="H373">
        <v>341</v>
      </c>
      <c r="I373">
        <v>17550.052907790396</v>
      </c>
      <c r="K373">
        <v>341</v>
      </c>
      <c r="L373">
        <v>15485.360842013846</v>
      </c>
    </row>
    <row r="374" spans="2:12" x14ac:dyDescent="0.3">
      <c r="B374">
        <v>342</v>
      </c>
      <c r="C374">
        <v>7333.4401015429567</v>
      </c>
      <c r="E374">
        <v>342</v>
      </c>
      <c r="F374">
        <v>75086.126675639869</v>
      </c>
      <c r="H374">
        <v>342</v>
      </c>
      <c r="I374">
        <v>15599.501797467847</v>
      </c>
      <c r="K374">
        <v>342</v>
      </c>
      <c r="L374">
        <v>13861.891157479118</v>
      </c>
    </row>
    <row r="375" spans="2:12" x14ac:dyDescent="0.3">
      <c r="B375">
        <v>343</v>
      </c>
      <c r="C375">
        <v>10122.638145668698</v>
      </c>
      <c r="E375">
        <v>343</v>
      </c>
      <c r="F375">
        <v>67991.344363334953</v>
      </c>
      <c r="H375">
        <v>343</v>
      </c>
      <c r="I375">
        <v>16346.535913494423</v>
      </c>
      <c r="K375">
        <v>343</v>
      </c>
      <c r="L375">
        <v>21666.079648866333</v>
      </c>
    </row>
    <row r="376" spans="2:12" x14ac:dyDescent="0.3">
      <c r="B376">
        <v>344</v>
      </c>
      <c r="C376">
        <v>4617.1745781482141</v>
      </c>
      <c r="E376">
        <v>344</v>
      </c>
      <c r="F376">
        <v>75864.393899697709</v>
      </c>
      <c r="H376">
        <v>344</v>
      </c>
      <c r="I376">
        <v>7427.3688085089561</v>
      </c>
      <c r="K376">
        <v>344</v>
      </c>
      <c r="L376">
        <v>28001.167301889462</v>
      </c>
    </row>
    <row r="377" spans="2:12" x14ac:dyDescent="0.3">
      <c r="B377">
        <v>345</v>
      </c>
      <c r="C377">
        <v>6352.6198614322157</v>
      </c>
      <c r="E377">
        <v>345</v>
      </c>
      <c r="F377">
        <v>74632.128255967604</v>
      </c>
      <c r="H377">
        <v>345</v>
      </c>
      <c r="I377">
        <v>12947.340641671868</v>
      </c>
      <c r="K377">
        <v>345</v>
      </c>
      <c r="L377">
        <v>16564.463351274768</v>
      </c>
    </row>
    <row r="378" spans="2:12" x14ac:dyDescent="0.3">
      <c r="B378">
        <v>346</v>
      </c>
      <c r="C378">
        <v>5810.9686670768906</v>
      </c>
      <c r="E378">
        <v>346</v>
      </c>
      <c r="F378">
        <v>66531.078375108977</v>
      </c>
      <c r="H378">
        <v>346</v>
      </c>
      <c r="I378">
        <v>14077.111131257996</v>
      </c>
      <c r="K378">
        <v>346</v>
      </c>
      <c r="L378">
        <v>27007.741269567476</v>
      </c>
    </row>
    <row r="379" spans="2:12" x14ac:dyDescent="0.3">
      <c r="B379">
        <v>347</v>
      </c>
      <c r="C379">
        <v>4067.2286292431818</v>
      </c>
      <c r="E379">
        <v>347</v>
      </c>
      <c r="F379">
        <v>71740.131878158179</v>
      </c>
      <c r="H379">
        <v>347</v>
      </c>
      <c r="I379">
        <v>5766.3389774429033</v>
      </c>
      <c r="K379">
        <v>347</v>
      </c>
      <c r="L379">
        <v>20190.549383920665</v>
      </c>
    </row>
    <row r="380" spans="2:12" x14ac:dyDescent="0.3">
      <c r="B380">
        <v>348</v>
      </c>
      <c r="C380">
        <v>9897.9545278092428</v>
      </c>
      <c r="E380">
        <v>348</v>
      </c>
      <c r="F380">
        <v>75908.833571830124</v>
      </c>
      <c r="H380">
        <v>348</v>
      </c>
      <c r="I380">
        <v>15911.077247366366</v>
      </c>
      <c r="K380">
        <v>348</v>
      </c>
      <c r="L380">
        <v>13589.049680370543</v>
      </c>
    </row>
    <row r="381" spans="2:12" x14ac:dyDescent="0.3">
      <c r="B381">
        <v>349</v>
      </c>
      <c r="C381">
        <v>9547.5625579881689</v>
      </c>
      <c r="E381">
        <v>349</v>
      </c>
      <c r="F381">
        <v>70636.434371195923</v>
      </c>
      <c r="H381">
        <v>349</v>
      </c>
      <c r="I381">
        <v>16025.39265913489</v>
      </c>
      <c r="K381">
        <v>349</v>
      </c>
      <c r="L381">
        <v>26978.202836262135</v>
      </c>
    </row>
    <row r="382" spans="2:12" x14ac:dyDescent="0.3">
      <c r="B382">
        <v>350</v>
      </c>
      <c r="C382">
        <v>2346.2832247214201</v>
      </c>
      <c r="E382">
        <v>350</v>
      </c>
      <c r="F382">
        <v>66184.95582235344</v>
      </c>
      <c r="H382">
        <v>350</v>
      </c>
      <c r="I382">
        <v>12006.788834510277</v>
      </c>
      <c r="K382">
        <v>350</v>
      </c>
      <c r="L382">
        <v>22174.70609809387</v>
      </c>
    </row>
    <row r="383" spans="2:12" x14ac:dyDescent="0.3">
      <c r="B383">
        <v>351</v>
      </c>
      <c r="C383">
        <v>5250.5014747147779</v>
      </c>
      <c r="E383">
        <v>351</v>
      </c>
      <c r="F383">
        <v>72205.400201503173</v>
      </c>
      <c r="H383">
        <v>351</v>
      </c>
      <c r="I383">
        <v>7819.3371963327381</v>
      </c>
      <c r="K383">
        <v>351</v>
      </c>
      <c r="L383">
        <v>17370.835957068626</v>
      </c>
    </row>
    <row r="384" spans="2:12" x14ac:dyDescent="0.3">
      <c r="B384">
        <v>352</v>
      </c>
      <c r="C384">
        <v>7713.9757685483519</v>
      </c>
      <c r="E384">
        <v>352</v>
      </c>
      <c r="F384">
        <v>61754.095867302443</v>
      </c>
      <c r="H384">
        <v>352</v>
      </c>
      <c r="I384">
        <v>9401.5370044220745</v>
      </c>
      <c r="K384">
        <v>352</v>
      </c>
      <c r="L384">
        <v>13683.93848745363</v>
      </c>
    </row>
    <row r="385" spans="2:12" x14ac:dyDescent="0.3">
      <c r="B385">
        <v>353</v>
      </c>
      <c r="C385">
        <v>3895.7404658305027</v>
      </c>
      <c r="E385">
        <v>353</v>
      </c>
      <c r="F385">
        <v>72081.390375086994</v>
      </c>
      <c r="H385">
        <v>353</v>
      </c>
      <c r="I385">
        <v>22236.597289945228</v>
      </c>
      <c r="K385">
        <v>353</v>
      </c>
      <c r="L385">
        <v>21732.869289333939</v>
      </c>
    </row>
    <row r="386" spans="2:12" x14ac:dyDescent="0.3">
      <c r="B386">
        <v>354</v>
      </c>
      <c r="C386">
        <v>7735.8823998365506</v>
      </c>
      <c r="E386">
        <v>354</v>
      </c>
      <c r="F386">
        <v>61238.937349392356</v>
      </c>
      <c r="H386">
        <v>354</v>
      </c>
      <c r="I386">
        <v>7400.8953686652976</v>
      </c>
      <c r="K386">
        <v>354</v>
      </c>
      <c r="L386">
        <v>19434.533153013734</v>
      </c>
    </row>
    <row r="387" spans="2:12" x14ac:dyDescent="0.3">
      <c r="B387">
        <v>355</v>
      </c>
      <c r="C387">
        <v>3786.7624124569547</v>
      </c>
      <c r="E387">
        <v>355</v>
      </c>
      <c r="F387">
        <v>64462.880499186234</v>
      </c>
      <c r="H387">
        <v>355</v>
      </c>
      <c r="I387">
        <v>14867.971635554421</v>
      </c>
      <c r="K387">
        <v>355</v>
      </c>
      <c r="L387">
        <v>17827.254920197814</v>
      </c>
    </row>
    <row r="388" spans="2:12" x14ac:dyDescent="0.3">
      <c r="B388">
        <v>356</v>
      </c>
      <c r="C388">
        <v>4285.6948441952973</v>
      </c>
      <c r="E388">
        <v>356</v>
      </c>
      <c r="F388">
        <v>74239.512235004731</v>
      </c>
      <c r="H388">
        <v>356</v>
      </c>
      <c r="I388">
        <v>13153.286792985489</v>
      </c>
      <c r="K388">
        <v>356</v>
      </c>
      <c r="L388">
        <v>21809.14096751505</v>
      </c>
    </row>
    <row r="389" spans="2:12" x14ac:dyDescent="0.3">
      <c r="B389">
        <v>357</v>
      </c>
      <c r="C389">
        <v>2052.5744831937518</v>
      </c>
      <c r="E389">
        <v>357</v>
      </c>
      <c r="F389">
        <v>67542.082747851673</v>
      </c>
      <c r="H389">
        <v>357</v>
      </c>
      <c r="I389">
        <v>4575.8786869659452</v>
      </c>
      <c r="K389">
        <v>357</v>
      </c>
      <c r="L389">
        <v>15132.499070589874</v>
      </c>
    </row>
    <row r="390" spans="2:12" x14ac:dyDescent="0.3">
      <c r="B390">
        <v>358</v>
      </c>
      <c r="C390">
        <v>7334.0402195031838</v>
      </c>
      <c r="E390">
        <v>358</v>
      </c>
      <c r="F390">
        <v>76168.484537383643</v>
      </c>
      <c r="H390">
        <v>358</v>
      </c>
      <c r="I390">
        <v>15070.382953298924</v>
      </c>
      <c r="K390">
        <v>358</v>
      </c>
      <c r="L390">
        <v>21268.628298429023</v>
      </c>
    </row>
    <row r="391" spans="2:12" x14ac:dyDescent="0.3">
      <c r="B391">
        <v>359</v>
      </c>
      <c r="C391">
        <v>9807.8389036515055</v>
      </c>
      <c r="E391">
        <v>359</v>
      </c>
      <c r="F391">
        <v>71171.072827629221</v>
      </c>
      <c r="H391">
        <v>359</v>
      </c>
      <c r="I391">
        <v>9494.3461318279296</v>
      </c>
      <c r="K391">
        <v>359</v>
      </c>
      <c r="L391">
        <v>16640.684808967257</v>
      </c>
    </row>
    <row r="392" spans="2:12" x14ac:dyDescent="0.3">
      <c r="B392">
        <v>360</v>
      </c>
      <c r="C392">
        <v>1299.6818260117584</v>
      </c>
      <c r="E392">
        <v>360</v>
      </c>
      <c r="F392">
        <v>69383.24337343745</v>
      </c>
      <c r="H392">
        <v>360</v>
      </c>
      <c r="I392">
        <v>13944.363429458685</v>
      </c>
      <c r="K392">
        <v>360</v>
      </c>
      <c r="L392">
        <v>11456.651495049875</v>
      </c>
    </row>
    <row r="393" spans="2:12" x14ac:dyDescent="0.3">
      <c r="B393">
        <v>361</v>
      </c>
      <c r="C393">
        <v>8192.2777906439042</v>
      </c>
      <c r="E393">
        <v>361</v>
      </c>
      <c r="F393">
        <v>71768.044596984633</v>
      </c>
      <c r="H393">
        <v>361</v>
      </c>
      <c r="I393">
        <v>11511.793181266541</v>
      </c>
      <c r="K393">
        <v>361</v>
      </c>
      <c r="L393">
        <v>21396.253431206991</v>
      </c>
    </row>
    <row r="394" spans="2:12" x14ac:dyDescent="0.3">
      <c r="B394">
        <v>362</v>
      </c>
      <c r="C394">
        <v>4256.9266633755742</v>
      </c>
      <c r="E394">
        <v>362</v>
      </c>
      <c r="F394">
        <v>76403.004735559036</v>
      </c>
      <c r="H394">
        <v>362</v>
      </c>
      <c r="I394">
        <v>17980.246009392093</v>
      </c>
      <c r="K394">
        <v>362</v>
      </c>
      <c r="L394">
        <v>25145.570050810806</v>
      </c>
    </row>
    <row r="395" spans="2:12" x14ac:dyDescent="0.3">
      <c r="B395">
        <v>363</v>
      </c>
      <c r="C395">
        <v>7155.3941957988382</v>
      </c>
      <c r="E395">
        <v>363</v>
      </c>
      <c r="F395">
        <v>71526.597126124849</v>
      </c>
      <c r="H395">
        <v>363</v>
      </c>
      <c r="I395">
        <v>15756.90884932367</v>
      </c>
      <c r="K395">
        <v>363</v>
      </c>
      <c r="L395">
        <v>6653.8340119957511</v>
      </c>
    </row>
    <row r="396" spans="2:12" x14ac:dyDescent="0.3">
      <c r="B396">
        <v>364</v>
      </c>
      <c r="C396">
        <v>8387.7332594125146</v>
      </c>
      <c r="E396">
        <v>364</v>
      </c>
      <c r="F396">
        <v>74215.011337545569</v>
      </c>
      <c r="H396">
        <v>364</v>
      </c>
      <c r="I396">
        <v>13226.310587612794</v>
      </c>
      <c r="K396">
        <v>364</v>
      </c>
      <c r="L396">
        <v>19834.774176852869</v>
      </c>
    </row>
    <row r="397" spans="2:12" x14ac:dyDescent="0.3">
      <c r="B397">
        <v>365</v>
      </c>
      <c r="C397">
        <v>6881.6219831203998</v>
      </c>
      <c r="E397">
        <v>365</v>
      </c>
      <c r="F397">
        <v>69674.796430902759</v>
      </c>
      <c r="H397">
        <v>365</v>
      </c>
      <c r="I397">
        <v>7810.0657613880612</v>
      </c>
      <c r="K397">
        <v>365</v>
      </c>
      <c r="L397">
        <v>14444.840833101302</v>
      </c>
    </row>
    <row r="398" spans="2:12" x14ac:dyDescent="0.3">
      <c r="B398">
        <v>366</v>
      </c>
      <c r="C398">
        <v>8004.9830715394364</v>
      </c>
      <c r="E398">
        <v>366</v>
      </c>
      <c r="F398">
        <v>69804.870535829396</v>
      </c>
      <c r="H398">
        <v>366</v>
      </c>
      <c r="I398">
        <v>11708.790193416095</v>
      </c>
      <c r="K398">
        <v>366</v>
      </c>
      <c r="L398">
        <v>25281.269611818789</v>
      </c>
    </row>
    <row r="399" spans="2:12" x14ac:dyDescent="0.3">
      <c r="B399">
        <v>367</v>
      </c>
      <c r="C399">
        <v>6623.3822837673124</v>
      </c>
      <c r="E399">
        <v>367</v>
      </c>
      <c r="F399">
        <v>66457.91153317751</v>
      </c>
      <c r="H399">
        <v>367</v>
      </c>
      <c r="I399">
        <v>18072.297043926279</v>
      </c>
      <c r="K399">
        <v>367</v>
      </c>
      <c r="L399">
        <v>15389.464813175953</v>
      </c>
    </row>
    <row r="400" spans="2:12" x14ac:dyDescent="0.3">
      <c r="B400">
        <v>368</v>
      </c>
      <c r="C400">
        <v>6323.1085060444439</v>
      </c>
      <c r="E400">
        <v>368</v>
      </c>
      <c r="F400">
        <v>69232.099259804032</v>
      </c>
      <c r="H400">
        <v>368</v>
      </c>
      <c r="I400">
        <v>17301.140099445776</v>
      </c>
      <c r="K400">
        <v>368</v>
      </c>
      <c r="L400">
        <v>18390.244476760046</v>
      </c>
    </row>
    <row r="401" spans="2:12" x14ac:dyDescent="0.3">
      <c r="B401">
        <v>369</v>
      </c>
      <c r="C401">
        <v>11453.062336634319</v>
      </c>
      <c r="E401">
        <v>369</v>
      </c>
      <c r="F401">
        <v>67329.196046774261</v>
      </c>
      <c r="H401">
        <v>369</v>
      </c>
      <c r="I401">
        <v>18825.740605370025</v>
      </c>
      <c r="K401">
        <v>369</v>
      </c>
      <c r="L401">
        <v>27968.234159418258</v>
      </c>
    </row>
    <row r="402" spans="2:12" x14ac:dyDescent="0.3">
      <c r="B402">
        <v>370</v>
      </c>
      <c r="C402">
        <v>7497.3919114286637</v>
      </c>
      <c r="E402">
        <v>370</v>
      </c>
      <c r="F402">
        <v>77144.132007743596</v>
      </c>
      <c r="H402">
        <v>370</v>
      </c>
      <c r="I402">
        <v>21457.124312059816</v>
      </c>
      <c r="K402">
        <v>370</v>
      </c>
      <c r="L402">
        <v>7628.4035685457811</v>
      </c>
    </row>
    <row r="403" spans="2:12" x14ac:dyDescent="0.3">
      <c r="B403">
        <v>371</v>
      </c>
      <c r="C403">
        <v>7616.8668791919772</v>
      </c>
      <c r="E403">
        <v>371</v>
      </c>
      <c r="F403">
        <v>76130.563782781188</v>
      </c>
      <c r="H403">
        <v>371</v>
      </c>
      <c r="I403">
        <v>19201.352609593043</v>
      </c>
      <c r="K403">
        <v>371</v>
      </c>
      <c r="L403">
        <v>19276.891776430795</v>
      </c>
    </row>
    <row r="404" spans="2:12" x14ac:dyDescent="0.3">
      <c r="B404">
        <v>372</v>
      </c>
      <c r="C404">
        <v>7002.2259246754438</v>
      </c>
      <c r="E404">
        <v>372</v>
      </c>
      <c r="F404">
        <v>79595.659544222217</v>
      </c>
      <c r="H404">
        <v>372</v>
      </c>
      <c r="I404">
        <v>10050.609447453178</v>
      </c>
      <c r="K404">
        <v>372</v>
      </c>
      <c r="L404">
        <v>12996.544941672062</v>
      </c>
    </row>
    <row r="405" spans="2:12" x14ac:dyDescent="0.3">
      <c r="B405">
        <v>373</v>
      </c>
      <c r="C405">
        <v>9040.1779775144223</v>
      </c>
      <c r="E405">
        <v>373</v>
      </c>
      <c r="F405">
        <v>70136.245930903184</v>
      </c>
      <c r="H405">
        <v>373</v>
      </c>
      <c r="I405">
        <v>19722.727757858403</v>
      </c>
      <c r="K405">
        <v>373</v>
      </c>
      <c r="L405">
        <v>24361.745441240215</v>
      </c>
    </row>
    <row r="406" spans="2:12" x14ac:dyDescent="0.3">
      <c r="B406">
        <v>374</v>
      </c>
      <c r="C406">
        <v>9724.2270957555229</v>
      </c>
      <c r="E406">
        <v>374</v>
      </c>
      <c r="F406">
        <v>78644.011334452516</v>
      </c>
      <c r="H406">
        <v>374</v>
      </c>
      <c r="I406">
        <v>11002.900371400454</v>
      </c>
      <c r="K406">
        <v>374</v>
      </c>
      <c r="L406">
        <v>8005.5888360650515</v>
      </c>
    </row>
    <row r="407" spans="2:12" x14ac:dyDescent="0.3">
      <c r="B407">
        <v>375</v>
      </c>
      <c r="C407">
        <v>6682.1093123661567</v>
      </c>
      <c r="E407">
        <v>375</v>
      </c>
      <c r="F407">
        <v>62089.110456035363</v>
      </c>
      <c r="H407">
        <v>375</v>
      </c>
      <c r="I407">
        <v>15941.426797745869</v>
      </c>
      <c r="K407">
        <v>375</v>
      </c>
      <c r="L407">
        <v>20961.991345966475</v>
      </c>
    </row>
    <row r="408" spans="2:12" x14ac:dyDescent="0.3">
      <c r="B408">
        <v>376</v>
      </c>
      <c r="C408">
        <v>9841.7870086278235</v>
      </c>
      <c r="E408">
        <v>376</v>
      </c>
      <c r="F408">
        <v>76361.449045773901</v>
      </c>
      <c r="H408">
        <v>376</v>
      </c>
      <c r="I408">
        <v>12053.116488654239</v>
      </c>
      <c r="K408">
        <v>376</v>
      </c>
      <c r="L408">
        <v>14250.803494161091</v>
      </c>
    </row>
    <row r="409" spans="2:12" x14ac:dyDescent="0.3">
      <c r="B409">
        <v>377</v>
      </c>
      <c r="C409">
        <v>7294.1372181838306</v>
      </c>
      <c r="E409">
        <v>377</v>
      </c>
      <c r="F409">
        <v>77162.719202696011</v>
      </c>
      <c r="H409">
        <v>377</v>
      </c>
      <c r="I409">
        <v>16947.76469461522</v>
      </c>
      <c r="K409">
        <v>377</v>
      </c>
      <c r="L409">
        <v>23675.41112284785</v>
      </c>
    </row>
    <row r="410" spans="2:12" x14ac:dyDescent="0.3">
      <c r="B410">
        <v>378</v>
      </c>
      <c r="C410">
        <v>4644.4379566079633</v>
      </c>
      <c r="E410">
        <v>378</v>
      </c>
      <c r="F410">
        <v>74220.262285200006</v>
      </c>
      <c r="H410">
        <v>378</v>
      </c>
      <c r="I410">
        <v>5861.0431180395062</v>
      </c>
      <c r="K410">
        <v>378</v>
      </c>
      <c r="L410">
        <v>22740.243393981789</v>
      </c>
    </row>
    <row r="411" spans="2:12" x14ac:dyDescent="0.3">
      <c r="B411">
        <v>379</v>
      </c>
      <c r="C411">
        <v>5263.9297426196454</v>
      </c>
      <c r="E411">
        <v>379</v>
      </c>
      <c r="F411">
        <v>70245.60141707705</v>
      </c>
      <c r="H411">
        <v>379</v>
      </c>
      <c r="I411">
        <v>14531.96845050135</v>
      </c>
      <c r="K411">
        <v>379</v>
      </c>
      <c r="L411">
        <v>26913.965060949089</v>
      </c>
    </row>
    <row r="412" spans="2:12" x14ac:dyDescent="0.3">
      <c r="B412">
        <v>380</v>
      </c>
      <c r="C412">
        <v>9325.5641673858336</v>
      </c>
      <c r="E412">
        <v>380</v>
      </c>
      <c r="F412">
        <v>65558.161427442727</v>
      </c>
      <c r="H412">
        <v>380</v>
      </c>
      <c r="I412">
        <v>15410.407509989573</v>
      </c>
      <c r="K412">
        <v>380</v>
      </c>
      <c r="L412">
        <v>18847.547049852135</v>
      </c>
    </row>
    <row r="413" spans="2:12" x14ac:dyDescent="0.3">
      <c r="B413">
        <v>381</v>
      </c>
      <c r="C413">
        <v>6330.394911866586</v>
      </c>
      <c r="E413">
        <v>381</v>
      </c>
      <c r="F413">
        <v>62138.869341417572</v>
      </c>
      <c r="H413">
        <v>381</v>
      </c>
      <c r="I413">
        <v>4845.6892542750693</v>
      </c>
      <c r="K413">
        <v>381</v>
      </c>
      <c r="L413">
        <v>14010.140382051826</v>
      </c>
    </row>
    <row r="414" spans="2:12" x14ac:dyDescent="0.3">
      <c r="B414">
        <v>382</v>
      </c>
      <c r="C414">
        <v>10964.628524741809</v>
      </c>
      <c r="E414">
        <v>382</v>
      </c>
      <c r="F414">
        <v>77020.577397244473</v>
      </c>
      <c r="H414">
        <v>382</v>
      </c>
      <c r="I414">
        <v>21717.168373911139</v>
      </c>
      <c r="K414">
        <v>382</v>
      </c>
      <c r="L414">
        <v>25201.404265141762</v>
      </c>
    </row>
    <row r="415" spans="2:12" x14ac:dyDescent="0.3">
      <c r="B415">
        <v>383</v>
      </c>
      <c r="C415">
        <v>3194.9820178084178</v>
      </c>
      <c r="E415">
        <v>383</v>
      </c>
      <c r="F415">
        <v>74373.478217993223</v>
      </c>
      <c r="H415">
        <v>383</v>
      </c>
      <c r="I415">
        <v>9054.0007256272384</v>
      </c>
      <c r="K415">
        <v>383</v>
      </c>
      <c r="L415">
        <v>13166.574399146124</v>
      </c>
    </row>
    <row r="416" spans="2:12" x14ac:dyDescent="0.3">
      <c r="B416">
        <v>384</v>
      </c>
      <c r="C416">
        <v>5146.2644050468307</v>
      </c>
      <c r="E416">
        <v>384</v>
      </c>
      <c r="F416">
        <v>75140.784963187252</v>
      </c>
      <c r="H416">
        <v>384</v>
      </c>
      <c r="I416">
        <v>17441.846721416689</v>
      </c>
      <c r="K416">
        <v>384</v>
      </c>
      <c r="L416">
        <v>23483.075316066381</v>
      </c>
    </row>
    <row r="417" spans="2:12" x14ac:dyDescent="0.3">
      <c r="B417">
        <v>385</v>
      </c>
      <c r="C417">
        <v>7269.7533128079758</v>
      </c>
      <c r="E417">
        <v>385</v>
      </c>
      <c r="F417">
        <v>72439.313129782226</v>
      </c>
      <c r="H417">
        <v>385</v>
      </c>
      <c r="I417">
        <v>9944.5764522613554</v>
      </c>
      <c r="K417">
        <v>385</v>
      </c>
      <c r="L417">
        <v>20095.109491225292</v>
      </c>
    </row>
    <row r="418" spans="2:12" x14ac:dyDescent="0.3">
      <c r="B418">
        <v>386</v>
      </c>
      <c r="C418">
        <v>4496.9265115066173</v>
      </c>
      <c r="E418">
        <v>386</v>
      </c>
      <c r="F418">
        <v>73155.44337549356</v>
      </c>
      <c r="H418">
        <v>386</v>
      </c>
      <c r="I418">
        <v>7185.4650638243884</v>
      </c>
      <c r="K418">
        <v>386</v>
      </c>
      <c r="L418">
        <v>4009.3232971535294</v>
      </c>
    </row>
    <row r="419" spans="2:12" x14ac:dyDescent="0.3">
      <c r="B419">
        <v>387</v>
      </c>
      <c r="C419">
        <v>7739.0643531971537</v>
      </c>
      <c r="E419">
        <v>387</v>
      </c>
      <c r="F419">
        <v>72232.067733902135</v>
      </c>
      <c r="H419">
        <v>387</v>
      </c>
      <c r="I419">
        <v>5415.6100678136581</v>
      </c>
      <c r="K419">
        <v>387</v>
      </c>
      <c r="L419">
        <v>24865.236761632266</v>
      </c>
    </row>
    <row r="420" spans="2:12" x14ac:dyDescent="0.3">
      <c r="B420">
        <v>388</v>
      </c>
      <c r="C420">
        <v>8158.6090901657535</v>
      </c>
      <c r="E420">
        <v>388</v>
      </c>
      <c r="F420">
        <v>73077.832016460728</v>
      </c>
      <c r="H420">
        <v>388</v>
      </c>
      <c r="I420">
        <v>6519.5385031010546</v>
      </c>
      <c r="K420">
        <v>388</v>
      </c>
      <c r="L420">
        <v>25467.602248148327</v>
      </c>
    </row>
    <row r="421" spans="2:12" x14ac:dyDescent="0.3">
      <c r="B421">
        <v>389</v>
      </c>
      <c r="C421">
        <v>6331.368047523416</v>
      </c>
      <c r="E421">
        <v>389</v>
      </c>
      <c r="F421">
        <v>73987.580017769695</v>
      </c>
      <c r="H421">
        <v>389</v>
      </c>
      <c r="I421">
        <v>13858.668307372322</v>
      </c>
      <c r="K421">
        <v>389</v>
      </c>
      <c r="L421">
        <v>6698.9727392284185</v>
      </c>
    </row>
    <row r="422" spans="2:12" x14ac:dyDescent="0.3">
      <c r="B422">
        <v>390</v>
      </c>
      <c r="C422">
        <v>4744.7733702141568</v>
      </c>
      <c r="E422">
        <v>390</v>
      </c>
      <c r="F422">
        <v>69971.254692666305</v>
      </c>
      <c r="H422">
        <v>390</v>
      </c>
      <c r="I422">
        <v>12051.339038186426</v>
      </c>
      <c r="K422">
        <v>390</v>
      </c>
      <c r="L422">
        <v>6460.6972569590034</v>
      </c>
    </row>
    <row r="423" spans="2:12" x14ac:dyDescent="0.3">
      <c r="B423">
        <v>391</v>
      </c>
      <c r="C423">
        <v>1839.4863548622036</v>
      </c>
      <c r="E423">
        <v>391</v>
      </c>
      <c r="F423">
        <v>70814.521735118658</v>
      </c>
      <c r="H423">
        <v>391</v>
      </c>
      <c r="I423">
        <v>16213.3361665956</v>
      </c>
      <c r="K423">
        <v>391</v>
      </c>
      <c r="L423">
        <v>19689.954719332483</v>
      </c>
    </row>
    <row r="424" spans="2:12" x14ac:dyDescent="0.3">
      <c r="B424">
        <v>392</v>
      </c>
      <c r="C424">
        <v>4533.3786747168751</v>
      </c>
      <c r="E424">
        <v>392</v>
      </c>
      <c r="F424">
        <v>76576.96762374595</v>
      </c>
      <c r="H424">
        <v>392</v>
      </c>
      <c r="I424">
        <v>12082.903916367828</v>
      </c>
      <c r="K424">
        <v>392</v>
      </c>
      <c r="L424">
        <v>10612.277192940805</v>
      </c>
    </row>
    <row r="425" spans="2:12" x14ac:dyDescent="0.3">
      <c r="B425">
        <v>393</v>
      </c>
      <c r="C425">
        <v>9407.2033476620127</v>
      </c>
      <c r="E425">
        <v>393</v>
      </c>
      <c r="F425">
        <v>73396.242792660123</v>
      </c>
      <c r="H425">
        <v>393</v>
      </c>
      <c r="I425">
        <v>4883.5811180640121</v>
      </c>
      <c r="K425">
        <v>393</v>
      </c>
      <c r="L425">
        <v>20470.298101630149</v>
      </c>
    </row>
    <row r="426" spans="2:12" x14ac:dyDescent="0.3">
      <c r="B426">
        <v>394</v>
      </c>
      <c r="C426">
        <v>1924.4909975358951</v>
      </c>
      <c r="E426">
        <v>394</v>
      </c>
      <c r="F426">
        <v>71942.155413335233</v>
      </c>
      <c r="H426">
        <v>394</v>
      </c>
      <c r="I426">
        <v>5453.9833141860317</v>
      </c>
      <c r="K426">
        <v>394</v>
      </c>
      <c r="L426">
        <v>17802.531273677003</v>
      </c>
    </row>
    <row r="427" spans="2:12" x14ac:dyDescent="0.3">
      <c r="B427">
        <v>395</v>
      </c>
      <c r="C427">
        <v>4693.1114069353225</v>
      </c>
      <c r="E427">
        <v>395</v>
      </c>
      <c r="F427">
        <v>73103.517686232241</v>
      </c>
      <c r="H427">
        <v>395</v>
      </c>
      <c r="I427">
        <v>9314.8445680922159</v>
      </c>
      <c r="K427">
        <v>395</v>
      </c>
      <c r="L427">
        <v>6419.8662128672568</v>
      </c>
    </row>
    <row r="428" spans="2:12" x14ac:dyDescent="0.3">
      <c r="B428">
        <v>396</v>
      </c>
      <c r="C428">
        <v>4822.2954409394079</v>
      </c>
      <c r="E428">
        <v>396</v>
      </c>
      <c r="F428">
        <v>73912.285764526721</v>
      </c>
      <c r="H428">
        <v>396</v>
      </c>
      <c r="I428">
        <v>11089.223809830975</v>
      </c>
      <c r="K428">
        <v>396</v>
      </c>
      <c r="L428">
        <v>8764.722290642987</v>
      </c>
    </row>
    <row r="429" spans="2:12" x14ac:dyDescent="0.3">
      <c r="B429">
        <v>397</v>
      </c>
      <c r="C429">
        <v>4902.4392958751123</v>
      </c>
      <c r="E429">
        <v>397</v>
      </c>
      <c r="F429">
        <v>61131.979950793248</v>
      </c>
      <c r="H429">
        <v>397</v>
      </c>
      <c r="I429">
        <v>19353.208274967994</v>
      </c>
      <c r="K429">
        <v>397</v>
      </c>
      <c r="L429">
        <v>15545.533428228739</v>
      </c>
    </row>
    <row r="430" spans="2:12" x14ac:dyDescent="0.3">
      <c r="B430">
        <v>398</v>
      </c>
      <c r="C430">
        <v>7475.7240989275479</v>
      </c>
      <c r="E430">
        <v>398</v>
      </c>
      <c r="F430">
        <v>71308.633018397028</v>
      </c>
      <c r="H430">
        <v>398</v>
      </c>
      <c r="I430">
        <v>12070.76529508882</v>
      </c>
      <c r="K430">
        <v>398</v>
      </c>
      <c r="L430">
        <v>24675.706418734455</v>
      </c>
    </row>
    <row r="431" spans="2:12" x14ac:dyDescent="0.3">
      <c r="B431">
        <v>399</v>
      </c>
      <c r="C431">
        <v>10683.821011126698</v>
      </c>
      <c r="E431">
        <v>399</v>
      </c>
      <c r="F431">
        <v>62007.656544020829</v>
      </c>
      <c r="H431">
        <v>399</v>
      </c>
      <c r="I431">
        <v>15658.507824155351</v>
      </c>
      <c r="K431">
        <v>399</v>
      </c>
      <c r="L431">
        <v>6024.7590246518994</v>
      </c>
    </row>
    <row r="432" spans="2:12" x14ac:dyDescent="0.3">
      <c r="B432">
        <v>400</v>
      </c>
      <c r="C432">
        <v>10008.520247232589</v>
      </c>
      <c r="E432">
        <v>400</v>
      </c>
      <c r="F432">
        <v>76662.369886557935</v>
      </c>
      <c r="H432">
        <v>400</v>
      </c>
      <c r="I432">
        <v>23670.054913406024</v>
      </c>
      <c r="K432">
        <v>400</v>
      </c>
      <c r="L432">
        <v>16773.180785603497</v>
      </c>
    </row>
    <row r="433" spans="2:12" x14ac:dyDescent="0.3">
      <c r="B433">
        <v>401</v>
      </c>
      <c r="C433">
        <v>4221.0049314496027</v>
      </c>
      <c r="E433">
        <v>401</v>
      </c>
      <c r="F433">
        <v>76663.122640858477</v>
      </c>
      <c r="H433">
        <v>401</v>
      </c>
      <c r="I433">
        <v>10582.142485276263</v>
      </c>
      <c r="K433">
        <v>401</v>
      </c>
      <c r="L433">
        <v>27458.347739199089</v>
      </c>
    </row>
    <row r="434" spans="2:12" x14ac:dyDescent="0.3">
      <c r="B434">
        <v>402</v>
      </c>
      <c r="C434">
        <v>3556.1346634672109</v>
      </c>
      <c r="E434">
        <v>402</v>
      </c>
      <c r="F434">
        <v>72271.088362038558</v>
      </c>
      <c r="H434">
        <v>402</v>
      </c>
      <c r="I434">
        <v>13253.206892657954</v>
      </c>
      <c r="K434">
        <v>402</v>
      </c>
      <c r="L434">
        <v>9273.8702384356202</v>
      </c>
    </row>
    <row r="435" spans="2:12" x14ac:dyDescent="0.3">
      <c r="B435">
        <v>403</v>
      </c>
      <c r="C435">
        <v>4808.4350313991235</v>
      </c>
      <c r="E435">
        <v>403</v>
      </c>
      <c r="F435">
        <v>69552.562819778119</v>
      </c>
      <c r="H435">
        <v>403</v>
      </c>
      <c r="I435">
        <v>18031.183085398676</v>
      </c>
      <c r="K435">
        <v>403</v>
      </c>
      <c r="L435">
        <v>19233.276349010412</v>
      </c>
    </row>
    <row r="436" spans="2:12" x14ac:dyDescent="0.3">
      <c r="B436">
        <v>404</v>
      </c>
      <c r="C436">
        <v>5747.228350122652</v>
      </c>
      <c r="E436">
        <v>404</v>
      </c>
      <c r="F436">
        <v>67404.971174339356</v>
      </c>
      <c r="H436">
        <v>404</v>
      </c>
      <c r="I436">
        <v>10181.820634379499</v>
      </c>
      <c r="K436">
        <v>404</v>
      </c>
      <c r="L436">
        <v>9692.6184472321238</v>
      </c>
    </row>
    <row r="437" spans="2:12" x14ac:dyDescent="0.3">
      <c r="B437">
        <v>405</v>
      </c>
      <c r="C437">
        <v>3675.1464467980013</v>
      </c>
      <c r="E437">
        <v>405</v>
      </c>
      <c r="F437">
        <v>63226.642340968931</v>
      </c>
      <c r="H437">
        <v>405</v>
      </c>
      <c r="I437">
        <v>18359.441712754804</v>
      </c>
      <c r="K437">
        <v>405</v>
      </c>
      <c r="L437">
        <v>1875.0812088409507</v>
      </c>
    </row>
    <row r="438" spans="2:12" x14ac:dyDescent="0.3">
      <c r="B438">
        <v>406</v>
      </c>
      <c r="C438">
        <v>5530.5022474986454</v>
      </c>
      <c r="E438">
        <v>406</v>
      </c>
      <c r="F438">
        <v>72119.796639207008</v>
      </c>
      <c r="H438">
        <v>406</v>
      </c>
      <c r="I438">
        <v>8823.2066444025677</v>
      </c>
      <c r="K438">
        <v>406</v>
      </c>
      <c r="L438">
        <v>27940.639367901356</v>
      </c>
    </row>
    <row r="439" spans="2:12" x14ac:dyDescent="0.3">
      <c r="B439">
        <v>407</v>
      </c>
      <c r="C439">
        <v>8113.8617065391454</v>
      </c>
      <c r="E439">
        <v>407</v>
      </c>
      <c r="F439">
        <v>69452.237449821754</v>
      </c>
      <c r="H439">
        <v>407</v>
      </c>
      <c r="I439">
        <v>9490.84164724316</v>
      </c>
      <c r="K439">
        <v>407</v>
      </c>
      <c r="L439">
        <v>12085.102710730442</v>
      </c>
    </row>
    <row r="440" spans="2:12" x14ac:dyDescent="0.3">
      <c r="B440">
        <v>408</v>
      </c>
      <c r="C440">
        <v>11389.497368338149</v>
      </c>
      <c r="E440">
        <v>408</v>
      </c>
      <c r="F440">
        <v>69133.613266349508</v>
      </c>
      <c r="H440">
        <v>408</v>
      </c>
      <c r="I440">
        <v>10790.764818585123</v>
      </c>
      <c r="K440">
        <v>408</v>
      </c>
      <c r="L440">
        <v>20327.478440310188</v>
      </c>
    </row>
    <row r="441" spans="2:12" x14ac:dyDescent="0.3">
      <c r="B441">
        <v>409</v>
      </c>
      <c r="C441">
        <v>3498.5185341741785</v>
      </c>
      <c r="E441">
        <v>409</v>
      </c>
      <c r="F441">
        <v>73589.106837666768</v>
      </c>
      <c r="H441">
        <v>409</v>
      </c>
      <c r="I441">
        <v>7976.3863351915925</v>
      </c>
      <c r="K441">
        <v>409</v>
      </c>
      <c r="L441">
        <v>27154.905808122734</v>
      </c>
    </row>
    <row r="442" spans="2:12" x14ac:dyDescent="0.3">
      <c r="B442">
        <v>410</v>
      </c>
      <c r="C442">
        <v>2693.3278901689678</v>
      </c>
      <c r="E442">
        <v>410</v>
      </c>
      <c r="F442">
        <v>76982.634293820185</v>
      </c>
      <c r="H442">
        <v>410</v>
      </c>
      <c r="I442">
        <v>17219.521948774425</v>
      </c>
      <c r="K442">
        <v>410</v>
      </c>
      <c r="L442">
        <v>4260.3149812723241</v>
      </c>
    </row>
    <row r="443" spans="2:12" x14ac:dyDescent="0.3">
      <c r="B443">
        <v>411</v>
      </c>
      <c r="C443">
        <v>9344.3772945217443</v>
      </c>
      <c r="E443">
        <v>411</v>
      </c>
      <c r="F443">
        <v>76920.977341433914</v>
      </c>
      <c r="H443">
        <v>411</v>
      </c>
      <c r="I443">
        <v>14364.808018590502</v>
      </c>
      <c r="K443">
        <v>411</v>
      </c>
      <c r="L443">
        <v>18681.88932500872</v>
      </c>
    </row>
    <row r="444" spans="2:12" x14ac:dyDescent="0.3">
      <c r="B444">
        <v>412</v>
      </c>
      <c r="C444">
        <v>9213.688139879152</v>
      </c>
      <c r="E444">
        <v>412</v>
      </c>
      <c r="F444">
        <v>70554.966357047655</v>
      </c>
      <c r="H444">
        <v>412</v>
      </c>
      <c r="I444">
        <v>13734.645308477669</v>
      </c>
      <c r="K444">
        <v>412</v>
      </c>
      <c r="L444">
        <v>27353.958525394035</v>
      </c>
    </row>
    <row r="445" spans="2:12" x14ac:dyDescent="0.3">
      <c r="B445">
        <v>413</v>
      </c>
      <c r="C445">
        <v>9110.5749715904221</v>
      </c>
      <c r="E445">
        <v>413</v>
      </c>
      <c r="F445">
        <v>63942.581897125208</v>
      </c>
      <c r="H445">
        <v>413</v>
      </c>
      <c r="I445">
        <v>10221.805912237147</v>
      </c>
      <c r="K445">
        <v>413</v>
      </c>
      <c r="L445">
        <v>5551.6018313305749</v>
      </c>
    </row>
    <row r="446" spans="2:12" x14ac:dyDescent="0.3">
      <c r="B446">
        <v>414</v>
      </c>
      <c r="C446">
        <v>5600.8898831943343</v>
      </c>
      <c r="E446">
        <v>414</v>
      </c>
      <c r="F446">
        <v>69784.178283077781</v>
      </c>
      <c r="H446">
        <v>414</v>
      </c>
      <c r="I446">
        <v>6845.955297466161</v>
      </c>
      <c r="K446">
        <v>414</v>
      </c>
      <c r="L446">
        <v>23523.715638026388</v>
      </c>
    </row>
    <row r="447" spans="2:12" x14ac:dyDescent="0.3">
      <c r="B447">
        <v>415</v>
      </c>
      <c r="C447">
        <v>9411.8655103821202</v>
      </c>
      <c r="E447">
        <v>415</v>
      </c>
      <c r="F447">
        <v>72802.057828934179</v>
      </c>
      <c r="H447">
        <v>415</v>
      </c>
      <c r="I447">
        <v>10638.051824908223</v>
      </c>
      <c r="K447">
        <v>415</v>
      </c>
      <c r="L447">
        <v>17256.405588914819</v>
      </c>
    </row>
    <row r="448" spans="2:12" x14ac:dyDescent="0.3">
      <c r="B448">
        <v>416</v>
      </c>
      <c r="C448">
        <v>10677.906545693608</v>
      </c>
      <c r="E448">
        <v>416</v>
      </c>
      <c r="F448">
        <v>64763.814365445862</v>
      </c>
      <c r="H448">
        <v>416</v>
      </c>
      <c r="I448">
        <v>16273.964403694252</v>
      </c>
      <c r="K448">
        <v>416</v>
      </c>
      <c r="L448">
        <v>22870.404495918643</v>
      </c>
    </row>
    <row r="449" spans="2:12" x14ac:dyDescent="0.3">
      <c r="B449">
        <v>417</v>
      </c>
      <c r="C449">
        <v>8125.3602639347928</v>
      </c>
      <c r="E449">
        <v>417</v>
      </c>
      <c r="F449">
        <v>72693.305410444998</v>
      </c>
      <c r="H449">
        <v>417</v>
      </c>
      <c r="I449">
        <v>11042.129851735999</v>
      </c>
      <c r="K449">
        <v>417</v>
      </c>
      <c r="L449">
        <v>17072.326502146745</v>
      </c>
    </row>
    <row r="450" spans="2:12" x14ac:dyDescent="0.3">
      <c r="B450">
        <v>418</v>
      </c>
      <c r="C450">
        <v>8488.4867373386442</v>
      </c>
      <c r="E450">
        <v>418</v>
      </c>
      <c r="F450">
        <v>71196.863413102459</v>
      </c>
      <c r="H450">
        <v>418</v>
      </c>
      <c r="I450">
        <v>18591.127553086812</v>
      </c>
      <c r="K450">
        <v>418</v>
      </c>
      <c r="L450">
        <v>18929.002060163086</v>
      </c>
    </row>
    <row r="451" spans="2:12" x14ac:dyDescent="0.3">
      <c r="B451">
        <v>419</v>
      </c>
      <c r="C451">
        <v>6543.2456389294803</v>
      </c>
      <c r="E451">
        <v>419</v>
      </c>
      <c r="F451">
        <v>62621.509573585987</v>
      </c>
      <c r="H451">
        <v>419</v>
      </c>
      <c r="I451">
        <v>8240.3588660441619</v>
      </c>
      <c r="K451">
        <v>419</v>
      </c>
      <c r="L451">
        <v>18476.342863316931</v>
      </c>
    </row>
    <row r="452" spans="2:12" x14ac:dyDescent="0.3">
      <c r="B452">
        <v>420</v>
      </c>
      <c r="C452">
        <v>6655.4448363920219</v>
      </c>
      <c r="E452">
        <v>420</v>
      </c>
      <c r="F452">
        <v>75539.507744345203</v>
      </c>
      <c r="H452">
        <v>420</v>
      </c>
      <c r="I452">
        <v>9901.8880977214885</v>
      </c>
      <c r="K452">
        <v>420</v>
      </c>
      <c r="L452">
        <v>12106.671606569407</v>
      </c>
    </row>
    <row r="453" spans="2:12" x14ac:dyDescent="0.3">
      <c r="B453">
        <v>421</v>
      </c>
      <c r="C453">
        <v>9168.9438124111057</v>
      </c>
      <c r="E453">
        <v>421</v>
      </c>
      <c r="F453">
        <v>72054.06632932504</v>
      </c>
      <c r="H453">
        <v>421</v>
      </c>
      <c r="I453">
        <v>20456.193789475685</v>
      </c>
      <c r="K453">
        <v>421</v>
      </c>
      <c r="L453">
        <v>12933.58300981615</v>
      </c>
    </row>
    <row r="454" spans="2:12" x14ac:dyDescent="0.3">
      <c r="B454">
        <v>422</v>
      </c>
      <c r="C454">
        <v>8708.7352970845895</v>
      </c>
      <c r="E454">
        <v>422</v>
      </c>
      <c r="F454">
        <v>75997.943715022237</v>
      </c>
      <c r="H454">
        <v>422</v>
      </c>
      <c r="I454">
        <v>16440.314170924266</v>
      </c>
      <c r="K454">
        <v>422</v>
      </c>
      <c r="L454">
        <v>20228.457808027957</v>
      </c>
    </row>
    <row r="455" spans="2:12" x14ac:dyDescent="0.3">
      <c r="B455">
        <v>423</v>
      </c>
      <c r="C455">
        <v>4448.5989154985073</v>
      </c>
      <c r="E455">
        <v>423</v>
      </c>
      <c r="F455">
        <v>79829.360243243413</v>
      </c>
      <c r="H455">
        <v>423</v>
      </c>
      <c r="I455">
        <v>4190.9024682665913</v>
      </c>
      <c r="K455">
        <v>423</v>
      </c>
      <c r="L455">
        <v>21057.956513795769</v>
      </c>
    </row>
    <row r="456" spans="2:12" x14ac:dyDescent="0.3">
      <c r="B456">
        <v>424</v>
      </c>
      <c r="C456">
        <v>7465.7019325106112</v>
      </c>
      <c r="E456">
        <v>424</v>
      </c>
      <c r="F456">
        <v>75481.835703156394</v>
      </c>
      <c r="H456">
        <v>424</v>
      </c>
      <c r="I456">
        <v>10537.75501457982</v>
      </c>
      <c r="K456">
        <v>424</v>
      </c>
      <c r="L456">
        <v>17380.113594949395</v>
      </c>
    </row>
    <row r="457" spans="2:12" x14ac:dyDescent="0.3">
      <c r="B457">
        <v>425</v>
      </c>
      <c r="C457">
        <v>6533.2615012398719</v>
      </c>
      <c r="E457">
        <v>425</v>
      </c>
      <c r="F457">
        <v>74438.515368686974</v>
      </c>
      <c r="H457">
        <v>425</v>
      </c>
      <c r="I457">
        <v>22605.260880778187</v>
      </c>
      <c r="K457">
        <v>425</v>
      </c>
      <c r="L457">
        <v>28927.462990148524</v>
      </c>
    </row>
    <row r="458" spans="2:12" x14ac:dyDescent="0.3">
      <c r="B458">
        <v>426</v>
      </c>
      <c r="C458">
        <v>7603.7474937294855</v>
      </c>
      <c r="E458">
        <v>426</v>
      </c>
      <c r="F458">
        <v>75158.496183390205</v>
      </c>
      <c r="H458">
        <v>426</v>
      </c>
      <c r="I458">
        <v>6733.9909954652921</v>
      </c>
      <c r="K458">
        <v>426</v>
      </c>
      <c r="L458">
        <v>15936.754595209368</v>
      </c>
    </row>
    <row r="459" spans="2:12" x14ac:dyDescent="0.3">
      <c r="B459">
        <v>427</v>
      </c>
      <c r="C459">
        <v>12369.676955950663</v>
      </c>
      <c r="E459">
        <v>427</v>
      </c>
      <c r="F459">
        <v>77041.349540188894</v>
      </c>
      <c r="H459">
        <v>427</v>
      </c>
      <c r="I459">
        <v>14366.154477479644</v>
      </c>
      <c r="K459">
        <v>427</v>
      </c>
      <c r="L459">
        <v>16118.83350023759</v>
      </c>
    </row>
    <row r="460" spans="2:12" x14ac:dyDescent="0.3">
      <c r="B460">
        <v>428</v>
      </c>
      <c r="C460">
        <v>7539.2555916255169</v>
      </c>
      <c r="E460">
        <v>428</v>
      </c>
      <c r="F460">
        <v>68644.106470845945</v>
      </c>
      <c r="H460">
        <v>428</v>
      </c>
      <c r="I460">
        <v>16677.107449364772</v>
      </c>
      <c r="K460">
        <v>428</v>
      </c>
      <c r="L460">
        <v>13868.290397857701</v>
      </c>
    </row>
    <row r="461" spans="2:12" x14ac:dyDescent="0.3">
      <c r="B461">
        <v>429</v>
      </c>
      <c r="C461">
        <v>3442.0750395349287</v>
      </c>
      <c r="E461">
        <v>429</v>
      </c>
      <c r="F461">
        <v>77378.890933330389</v>
      </c>
      <c r="H461">
        <v>429</v>
      </c>
      <c r="I461">
        <v>22805.935922702254</v>
      </c>
      <c r="K461">
        <v>429</v>
      </c>
      <c r="L461">
        <v>27927.193930574889</v>
      </c>
    </row>
    <row r="462" spans="2:12" x14ac:dyDescent="0.3">
      <c r="B462">
        <v>430</v>
      </c>
      <c r="C462">
        <v>4148.4549786831685</v>
      </c>
      <c r="E462">
        <v>430</v>
      </c>
      <c r="F462">
        <v>72481.01674134293</v>
      </c>
      <c r="H462">
        <v>430</v>
      </c>
      <c r="I462">
        <v>20522.260576627697</v>
      </c>
      <c r="K462">
        <v>430</v>
      </c>
      <c r="L462">
        <v>14355.060741519386</v>
      </c>
    </row>
    <row r="463" spans="2:12" x14ac:dyDescent="0.3">
      <c r="B463">
        <v>431</v>
      </c>
      <c r="C463">
        <v>3923.5406016906436</v>
      </c>
      <c r="E463">
        <v>431</v>
      </c>
      <c r="F463">
        <v>71933.87843662579</v>
      </c>
      <c r="H463">
        <v>431</v>
      </c>
      <c r="I463">
        <v>12541.836761182551</v>
      </c>
      <c r="K463">
        <v>431</v>
      </c>
      <c r="L463">
        <v>27487.131615287843</v>
      </c>
    </row>
    <row r="464" spans="2:12" x14ac:dyDescent="0.3">
      <c r="B464">
        <v>432</v>
      </c>
      <c r="C464">
        <v>7076.5770412492257</v>
      </c>
      <c r="E464">
        <v>432</v>
      </c>
      <c r="F464">
        <v>75884.279485878476</v>
      </c>
      <c r="H464">
        <v>432</v>
      </c>
      <c r="I464">
        <v>22042.13553598306</v>
      </c>
      <c r="K464">
        <v>432</v>
      </c>
      <c r="L464">
        <v>4371.7598428709298</v>
      </c>
    </row>
    <row r="465" spans="2:12" x14ac:dyDescent="0.3">
      <c r="B465">
        <v>433</v>
      </c>
      <c r="C465">
        <v>10184.402703161406</v>
      </c>
      <c r="E465">
        <v>433</v>
      </c>
      <c r="F465">
        <v>74688.694074790983</v>
      </c>
      <c r="H465">
        <v>433</v>
      </c>
      <c r="I465">
        <v>13268.52631643277</v>
      </c>
      <c r="K465">
        <v>433</v>
      </c>
      <c r="L465">
        <v>15428.256671411624</v>
      </c>
    </row>
    <row r="466" spans="2:12" x14ac:dyDescent="0.3">
      <c r="B466">
        <v>434</v>
      </c>
      <c r="C466">
        <v>8009.1814252793447</v>
      </c>
      <c r="E466">
        <v>434</v>
      </c>
      <c r="F466">
        <v>67497.843225909804</v>
      </c>
      <c r="H466">
        <v>434</v>
      </c>
      <c r="I466">
        <v>16908.061753865088</v>
      </c>
      <c r="K466">
        <v>434</v>
      </c>
      <c r="L466">
        <v>13760.229708678686</v>
      </c>
    </row>
    <row r="467" spans="2:12" x14ac:dyDescent="0.3">
      <c r="B467">
        <v>435</v>
      </c>
      <c r="C467">
        <v>7533.3270992357038</v>
      </c>
      <c r="E467">
        <v>435</v>
      </c>
      <c r="F467">
        <v>74184.926454590226</v>
      </c>
      <c r="H467">
        <v>435</v>
      </c>
      <c r="I467">
        <v>10626.109081260036</v>
      </c>
      <c r="K467">
        <v>435</v>
      </c>
      <c r="L467">
        <v>17580.698764887005</v>
      </c>
    </row>
    <row r="468" spans="2:12" x14ac:dyDescent="0.3">
      <c r="B468">
        <v>436</v>
      </c>
      <c r="C468">
        <v>6511.783071778762</v>
      </c>
      <c r="E468">
        <v>436</v>
      </c>
      <c r="F468">
        <v>76442.234793568408</v>
      </c>
      <c r="H468">
        <v>436</v>
      </c>
      <c r="I468">
        <v>2413.3930868584666</v>
      </c>
      <c r="K468">
        <v>436</v>
      </c>
      <c r="L468">
        <v>24223.826771917426</v>
      </c>
    </row>
    <row r="469" spans="2:12" x14ac:dyDescent="0.3">
      <c r="B469">
        <v>437</v>
      </c>
      <c r="C469">
        <v>4497.4256473860596</v>
      </c>
      <c r="E469">
        <v>437</v>
      </c>
      <c r="F469">
        <v>71995.945451149761</v>
      </c>
      <c r="H469">
        <v>437</v>
      </c>
      <c r="I469">
        <v>21372.169641905421</v>
      </c>
      <c r="K469">
        <v>437</v>
      </c>
      <c r="L469">
        <v>20625.478330471211</v>
      </c>
    </row>
    <row r="470" spans="2:12" x14ac:dyDescent="0.3">
      <c r="B470">
        <v>438</v>
      </c>
      <c r="C470">
        <v>10232.485509967164</v>
      </c>
      <c r="E470">
        <v>438</v>
      </c>
      <c r="F470">
        <v>78245.246363086859</v>
      </c>
      <c r="H470">
        <v>438</v>
      </c>
      <c r="I470">
        <v>22995.896282317539</v>
      </c>
      <c r="K470">
        <v>438</v>
      </c>
      <c r="L470">
        <v>26764.769844467854</v>
      </c>
    </row>
    <row r="471" spans="2:12" x14ac:dyDescent="0.3">
      <c r="B471">
        <v>439</v>
      </c>
      <c r="C471">
        <v>8218.519987854499</v>
      </c>
      <c r="E471">
        <v>439</v>
      </c>
      <c r="F471">
        <v>74347.984482690095</v>
      </c>
      <c r="H471">
        <v>439</v>
      </c>
      <c r="I471">
        <v>13062.087759737899</v>
      </c>
      <c r="K471">
        <v>439</v>
      </c>
      <c r="L471">
        <v>21533.149808116767</v>
      </c>
    </row>
    <row r="472" spans="2:12" x14ac:dyDescent="0.3">
      <c r="B472">
        <v>440</v>
      </c>
      <c r="C472">
        <v>7355.2455657990467</v>
      </c>
      <c r="E472">
        <v>440</v>
      </c>
      <c r="F472">
        <v>76239.554412270591</v>
      </c>
      <c r="H472">
        <v>440</v>
      </c>
      <c r="I472">
        <v>13841.526377432636</v>
      </c>
      <c r="K472">
        <v>440</v>
      </c>
      <c r="L472">
        <v>27480.239758556916</v>
      </c>
    </row>
    <row r="473" spans="2:12" x14ac:dyDescent="0.3">
      <c r="B473">
        <v>441</v>
      </c>
      <c r="C473">
        <v>10163.483467449709</v>
      </c>
      <c r="E473">
        <v>441</v>
      </c>
      <c r="F473">
        <v>69951.221159966706</v>
      </c>
      <c r="H473">
        <v>441</v>
      </c>
      <c r="I473">
        <v>20885.482710516982</v>
      </c>
      <c r="K473">
        <v>441</v>
      </c>
      <c r="L473">
        <v>21075.193306242341</v>
      </c>
    </row>
    <row r="474" spans="2:12" x14ac:dyDescent="0.3">
      <c r="B474">
        <v>442</v>
      </c>
      <c r="C474">
        <v>2542.87059866858</v>
      </c>
      <c r="E474">
        <v>442</v>
      </c>
      <c r="F474">
        <v>76773.271839908833</v>
      </c>
      <c r="H474">
        <v>442</v>
      </c>
      <c r="I474">
        <v>11068.176274419267</v>
      </c>
      <c r="K474">
        <v>442</v>
      </c>
      <c r="L474">
        <v>13404.151965935756</v>
      </c>
    </row>
    <row r="475" spans="2:12" x14ac:dyDescent="0.3">
      <c r="B475">
        <v>443</v>
      </c>
      <c r="C475">
        <v>5221.2463790556903</v>
      </c>
      <c r="E475">
        <v>443</v>
      </c>
      <c r="F475">
        <v>76315.575993734892</v>
      </c>
      <c r="H475">
        <v>443</v>
      </c>
      <c r="I475">
        <v>8647.4183091573395</v>
      </c>
      <c r="K475">
        <v>443</v>
      </c>
      <c r="L475">
        <v>14255.75099443822</v>
      </c>
    </row>
    <row r="476" spans="2:12" x14ac:dyDescent="0.3">
      <c r="B476">
        <v>444</v>
      </c>
      <c r="C476">
        <v>5017.8633694577748</v>
      </c>
      <c r="E476">
        <v>444</v>
      </c>
      <c r="F476">
        <v>74223.487986820241</v>
      </c>
      <c r="H476">
        <v>444</v>
      </c>
      <c r="I476">
        <v>17501.999664086914</v>
      </c>
      <c r="K476">
        <v>444</v>
      </c>
      <c r="L476">
        <v>20765.977460734175</v>
      </c>
    </row>
    <row r="477" spans="2:12" x14ac:dyDescent="0.3">
      <c r="B477">
        <v>445</v>
      </c>
      <c r="C477">
        <v>5025.3510799487076</v>
      </c>
      <c r="E477">
        <v>445</v>
      </c>
      <c r="F477">
        <v>76694.483608178416</v>
      </c>
      <c r="H477">
        <v>445</v>
      </c>
      <c r="I477">
        <v>10215.150769090957</v>
      </c>
      <c r="K477">
        <v>445</v>
      </c>
      <c r="L477">
        <v>26103.10164607779</v>
      </c>
    </row>
    <row r="478" spans="2:12" x14ac:dyDescent="0.3">
      <c r="B478">
        <v>446</v>
      </c>
      <c r="C478">
        <v>7994.4148337705192</v>
      </c>
      <c r="E478">
        <v>446</v>
      </c>
      <c r="F478">
        <v>73270.768049748658</v>
      </c>
      <c r="H478">
        <v>446</v>
      </c>
      <c r="I478">
        <v>18190.883269452825</v>
      </c>
      <c r="K478">
        <v>446</v>
      </c>
      <c r="L478">
        <v>16907.143244008508</v>
      </c>
    </row>
    <row r="479" spans="2:12" x14ac:dyDescent="0.3">
      <c r="B479">
        <v>447</v>
      </c>
      <c r="C479">
        <v>7167.4815152201772</v>
      </c>
      <c r="E479">
        <v>447</v>
      </c>
      <c r="F479">
        <v>74341.395570709414</v>
      </c>
      <c r="H479">
        <v>447</v>
      </c>
      <c r="I479">
        <v>10296.53350880875</v>
      </c>
      <c r="K479">
        <v>447</v>
      </c>
      <c r="L479">
        <v>28625.261906214157</v>
      </c>
    </row>
    <row r="480" spans="2:12" x14ac:dyDescent="0.3">
      <c r="B480">
        <v>448</v>
      </c>
      <c r="C480">
        <v>6909.4856534555956</v>
      </c>
      <c r="E480">
        <v>448</v>
      </c>
      <c r="F480">
        <v>74729.059368894465</v>
      </c>
      <c r="H480">
        <v>448</v>
      </c>
      <c r="I480">
        <v>15970.779377392804</v>
      </c>
      <c r="K480">
        <v>448</v>
      </c>
      <c r="L480">
        <v>18265.079746634725</v>
      </c>
    </row>
    <row r="481" spans="2:12" x14ac:dyDescent="0.3">
      <c r="B481">
        <v>449</v>
      </c>
      <c r="C481">
        <v>4012.8794968259735</v>
      </c>
      <c r="E481">
        <v>449</v>
      </c>
      <c r="F481">
        <v>74808.155670610591</v>
      </c>
      <c r="H481">
        <v>449</v>
      </c>
      <c r="I481">
        <v>12481.297099305801</v>
      </c>
      <c r="K481">
        <v>449</v>
      </c>
      <c r="L481">
        <v>24494.130491405995</v>
      </c>
    </row>
    <row r="482" spans="2:12" x14ac:dyDescent="0.3">
      <c r="B482">
        <v>450</v>
      </c>
      <c r="C482">
        <v>10170.091765393796</v>
      </c>
      <c r="E482">
        <v>450</v>
      </c>
      <c r="F482">
        <v>68701.159956553995</v>
      </c>
      <c r="H482">
        <v>450</v>
      </c>
      <c r="I482">
        <v>19431.334610213293</v>
      </c>
      <c r="K482">
        <v>450</v>
      </c>
      <c r="L482">
        <v>13756.260637569771</v>
      </c>
    </row>
    <row r="483" spans="2:12" x14ac:dyDescent="0.3">
      <c r="B483">
        <v>451</v>
      </c>
      <c r="C483">
        <v>8862.1020857714266</v>
      </c>
      <c r="E483">
        <v>451</v>
      </c>
      <c r="F483">
        <v>74337.997265426151</v>
      </c>
      <c r="H483">
        <v>451</v>
      </c>
      <c r="I483">
        <v>18567.60279902512</v>
      </c>
      <c r="K483">
        <v>451</v>
      </c>
      <c r="L483">
        <v>12079.020678272189</v>
      </c>
    </row>
    <row r="484" spans="2:12" x14ac:dyDescent="0.3">
      <c r="B484">
        <v>452</v>
      </c>
      <c r="C484">
        <v>7896.6508000800768</v>
      </c>
      <c r="E484">
        <v>452</v>
      </c>
      <c r="F484">
        <v>75436.855549051223</v>
      </c>
      <c r="H484">
        <v>452</v>
      </c>
      <c r="I484">
        <v>13153.540737312705</v>
      </c>
      <c r="K484">
        <v>452</v>
      </c>
      <c r="L484">
        <v>22228.767400483794</v>
      </c>
    </row>
    <row r="485" spans="2:12" x14ac:dyDescent="0.3">
      <c r="B485">
        <v>453</v>
      </c>
      <c r="C485">
        <v>7395.7852823128387</v>
      </c>
      <c r="E485">
        <v>453</v>
      </c>
      <c r="F485">
        <v>76388.342664296055</v>
      </c>
      <c r="H485">
        <v>453</v>
      </c>
      <c r="I485">
        <v>17968.239936250946</v>
      </c>
      <c r="K485">
        <v>453</v>
      </c>
      <c r="L485">
        <v>20653.498779267306</v>
      </c>
    </row>
    <row r="486" spans="2:12" x14ac:dyDescent="0.3">
      <c r="B486">
        <v>454</v>
      </c>
      <c r="C486">
        <v>8875.674480752954</v>
      </c>
      <c r="E486">
        <v>454</v>
      </c>
      <c r="F486">
        <v>70585.347704008236</v>
      </c>
      <c r="H486">
        <v>454</v>
      </c>
      <c r="I486">
        <v>12849.370737790641</v>
      </c>
      <c r="K486">
        <v>454</v>
      </c>
      <c r="L486">
        <v>15365.528664968255</v>
      </c>
    </row>
    <row r="487" spans="2:12" x14ac:dyDescent="0.3">
      <c r="B487">
        <v>455</v>
      </c>
      <c r="C487">
        <v>7740.4703957250722</v>
      </c>
      <c r="E487">
        <v>455</v>
      </c>
      <c r="F487">
        <v>75493.000145245722</v>
      </c>
      <c r="H487">
        <v>455</v>
      </c>
      <c r="I487">
        <v>7086.650720334831</v>
      </c>
      <c r="K487">
        <v>455</v>
      </c>
      <c r="L487">
        <v>26298.081273735334</v>
      </c>
    </row>
    <row r="488" spans="2:12" x14ac:dyDescent="0.3">
      <c r="B488">
        <v>456</v>
      </c>
      <c r="C488">
        <v>6237.4804591468856</v>
      </c>
      <c r="E488">
        <v>456</v>
      </c>
      <c r="F488">
        <v>69465.283199305894</v>
      </c>
      <c r="H488">
        <v>456</v>
      </c>
      <c r="I488">
        <v>22518.890375504569</v>
      </c>
      <c r="K488">
        <v>456</v>
      </c>
      <c r="L488">
        <v>16082.01454827343</v>
      </c>
    </row>
    <row r="489" spans="2:12" x14ac:dyDescent="0.3">
      <c r="B489">
        <v>457</v>
      </c>
      <c r="C489">
        <v>3840.9066633936977</v>
      </c>
      <c r="E489">
        <v>457</v>
      </c>
      <c r="F489">
        <v>73828.460727320722</v>
      </c>
      <c r="H489">
        <v>457</v>
      </c>
      <c r="I489">
        <v>10256.723561270654</v>
      </c>
      <c r="K489">
        <v>457</v>
      </c>
      <c r="L489">
        <v>15999.399031850604</v>
      </c>
    </row>
    <row r="490" spans="2:12" x14ac:dyDescent="0.3">
      <c r="B490">
        <v>458</v>
      </c>
      <c r="C490">
        <v>4345.8457499090209</v>
      </c>
      <c r="E490">
        <v>458</v>
      </c>
      <c r="F490">
        <v>69469.905809343589</v>
      </c>
      <c r="H490">
        <v>458</v>
      </c>
      <c r="I490">
        <v>13156.860237470521</v>
      </c>
      <c r="K490">
        <v>458</v>
      </c>
      <c r="L490">
        <v>24977.555749302057</v>
      </c>
    </row>
    <row r="491" spans="2:12" x14ac:dyDescent="0.3">
      <c r="B491">
        <v>459</v>
      </c>
      <c r="C491">
        <v>9980.1062831436484</v>
      </c>
      <c r="E491">
        <v>459</v>
      </c>
      <c r="F491">
        <v>73960.229674768736</v>
      </c>
      <c r="H491">
        <v>459</v>
      </c>
      <c r="I491">
        <v>15850.960776043215</v>
      </c>
      <c r="K491">
        <v>459</v>
      </c>
      <c r="L491">
        <v>19449.806679800906</v>
      </c>
    </row>
    <row r="492" spans="2:12" x14ac:dyDescent="0.3">
      <c r="B492">
        <v>460</v>
      </c>
      <c r="C492">
        <v>1883.7024402971031</v>
      </c>
      <c r="E492">
        <v>460</v>
      </c>
      <c r="F492">
        <v>71738.153492452606</v>
      </c>
      <c r="H492">
        <v>460</v>
      </c>
      <c r="I492">
        <v>20593.082041621718</v>
      </c>
      <c r="K492">
        <v>460</v>
      </c>
      <c r="L492">
        <v>19128.373172781325</v>
      </c>
    </row>
    <row r="493" spans="2:12" x14ac:dyDescent="0.3">
      <c r="B493">
        <v>461</v>
      </c>
      <c r="C493">
        <v>8496.4495805822462</v>
      </c>
      <c r="E493">
        <v>461</v>
      </c>
      <c r="F493">
        <v>75240.738377242</v>
      </c>
      <c r="H493">
        <v>461</v>
      </c>
      <c r="I493">
        <v>13691.051682222636</v>
      </c>
      <c r="K493">
        <v>461</v>
      </c>
      <c r="L493">
        <v>19706.199000444329</v>
      </c>
    </row>
    <row r="494" spans="2:12" x14ac:dyDescent="0.3">
      <c r="B494">
        <v>462</v>
      </c>
      <c r="C494">
        <v>6378.3645620249245</v>
      </c>
      <c r="E494">
        <v>462</v>
      </c>
      <c r="F494">
        <v>74018.573940256261</v>
      </c>
      <c r="H494">
        <v>462</v>
      </c>
      <c r="I494">
        <v>6336.3215316582036</v>
      </c>
      <c r="K494">
        <v>462</v>
      </c>
      <c r="L494">
        <v>22443.603568471794</v>
      </c>
    </row>
    <row r="495" spans="2:12" x14ac:dyDescent="0.3">
      <c r="B495">
        <v>463</v>
      </c>
      <c r="C495">
        <v>9486.8787784727865</v>
      </c>
      <c r="E495">
        <v>463</v>
      </c>
      <c r="F495">
        <v>72815.882300107245</v>
      </c>
      <c r="H495">
        <v>463</v>
      </c>
      <c r="I495">
        <v>17304.923880155671</v>
      </c>
      <c r="K495">
        <v>463</v>
      </c>
      <c r="L495">
        <v>14682.079918096968</v>
      </c>
    </row>
    <row r="496" spans="2:12" x14ac:dyDescent="0.3">
      <c r="B496">
        <v>464</v>
      </c>
      <c r="C496">
        <v>6813.6650365966034</v>
      </c>
      <c r="E496">
        <v>464</v>
      </c>
      <c r="F496">
        <v>74776.615424393589</v>
      </c>
      <c r="H496">
        <v>464</v>
      </c>
      <c r="I496">
        <v>6153.6458043874645</v>
      </c>
      <c r="K496">
        <v>464</v>
      </c>
      <c r="L496">
        <v>11013.248115930946</v>
      </c>
    </row>
    <row r="497" spans="2:12" x14ac:dyDescent="0.3">
      <c r="B497">
        <v>465</v>
      </c>
      <c r="C497">
        <v>9734.2525856484226</v>
      </c>
      <c r="E497">
        <v>465</v>
      </c>
      <c r="F497">
        <v>67645.998518936758</v>
      </c>
      <c r="H497">
        <v>465</v>
      </c>
      <c r="I497">
        <v>13340.28504325945</v>
      </c>
      <c r="K497">
        <v>465</v>
      </c>
      <c r="L497">
        <v>21982.156974252244</v>
      </c>
    </row>
    <row r="498" spans="2:12" x14ac:dyDescent="0.3">
      <c r="B498">
        <v>466</v>
      </c>
      <c r="C498">
        <v>2533.8651887109113</v>
      </c>
      <c r="E498">
        <v>466</v>
      </c>
      <c r="F498">
        <v>64971.860949948277</v>
      </c>
      <c r="H498">
        <v>466</v>
      </c>
      <c r="I498">
        <v>18789.762561894207</v>
      </c>
      <c r="K498">
        <v>466</v>
      </c>
      <c r="L498">
        <v>25289.014402053865</v>
      </c>
    </row>
    <row r="499" spans="2:12" x14ac:dyDescent="0.3">
      <c r="B499">
        <v>467</v>
      </c>
      <c r="C499">
        <v>6405.0823365611759</v>
      </c>
      <c r="E499">
        <v>467</v>
      </c>
      <c r="F499">
        <v>79145.523841774353</v>
      </c>
      <c r="H499">
        <v>467</v>
      </c>
      <c r="I499">
        <v>6183.9805783003794</v>
      </c>
      <c r="K499">
        <v>467</v>
      </c>
      <c r="L499">
        <v>17745.021367343172</v>
      </c>
    </row>
    <row r="500" spans="2:12" x14ac:dyDescent="0.3">
      <c r="B500">
        <v>468</v>
      </c>
      <c r="C500">
        <v>2583.5652989844948</v>
      </c>
      <c r="E500">
        <v>468</v>
      </c>
      <c r="F500">
        <v>62036.340393680024</v>
      </c>
      <c r="H500">
        <v>468</v>
      </c>
      <c r="I500">
        <v>18023.119907698449</v>
      </c>
      <c r="K500">
        <v>468</v>
      </c>
      <c r="L500">
        <v>11856.901462436766</v>
      </c>
    </row>
    <row r="501" spans="2:12" x14ac:dyDescent="0.3">
      <c r="B501">
        <v>469</v>
      </c>
      <c r="C501">
        <v>11325.621884464277</v>
      </c>
      <c r="E501">
        <v>469</v>
      </c>
      <c r="F501">
        <v>73796.738739860812</v>
      </c>
      <c r="H501">
        <v>469</v>
      </c>
      <c r="I501">
        <v>11814.09934156571</v>
      </c>
      <c r="K501">
        <v>469</v>
      </c>
      <c r="L501">
        <v>25891.207896962511</v>
      </c>
    </row>
    <row r="502" spans="2:12" x14ac:dyDescent="0.3">
      <c r="B502">
        <v>470</v>
      </c>
      <c r="C502">
        <v>6941.1614432388897</v>
      </c>
      <c r="E502">
        <v>470</v>
      </c>
      <c r="F502">
        <v>76156.767983660699</v>
      </c>
      <c r="H502">
        <v>470</v>
      </c>
      <c r="I502">
        <v>13368.835688297382</v>
      </c>
      <c r="K502">
        <v>470</v>
      </c>
      <c r="L502">
        <v>12334.789189327537</v>
      </c>
    </row>
    <row r="503" spans="2:12" x14ac:dyDescent="0.3">
      <c r="B503">
        <v>471</v>
      </c>
      <c r="C503">
        <v>10847.959353079194</v>
      </c>
      <c r="E503">
        <v>471</v>
      </c>
      <c r="F503">
        <v>69129.952128861361</v>
      </c>
      <c r="H503">
        <v>471</v>
      </c>
      <c r="I503">
        <v>18718.388974564205</v>
      </c>
      <c r="K503">
        <v>471</v>
      </c>
      <c r="L503">
        <v>13672.829821009786</v>
      </c>
    </row>
    <row r="504" spans="2:12" x14ac:dyDescent="0.3">
      <c r="B504">
        <v>472</v>
      </c>
      <c r="C504">
        <v>3523.7714996421478</v>
      </c>
      <c r="E504">
        <v>472</v>
      </c>
      <c r="F504">
        <v>69054.318955981638</v>
      </c>
      <c r="H504">
        <v>472</v>
      </c>
      <c r="I504">
        <v>10562.240784737287</v>
      </c>
      <c r="K504">
        <v>472</v>
      </c>
      <c r="L504">
        <v>12983.21728809275</v>
      </c>
    </row>
    <row r="505" spans="2:12" x14ac:dyDescent="0.3">
      <c r="B505">
        <v>473</v>
      </c>
      <c r="C505">
        <v>10725.990524050791</v>
      </c>
      <c r="E505">
        <v>473</v>
      </c>
      <c r="F505">
        <v>72559.760834305634</v>
      </c>
      <c r="H505">
        <v>473</v>
      </c>
      <c r="I505">
        <v>8324.1281169805552</v>
      </c>
      <c r="K505">
        <v>473</v>
      </c>
      <c r="L505">
        <v>2889.9086582186701</v>
      </c>
    </row>
    <row r="506" spans="2:12" x14ac:dyDescent="0.3">
      <c r="B506">
        <v>474</v>
      </c>
      <c r="C506">
        <v>8901.1181699617337</v>
      </c>
      <c r="E506">
        <v>474</v>
      </c>
      <c r="F506">
        <v>77746.208231481054</v>
      </c>
      <c r="H506">
        <v>474</v>
      </c>
      <c r="I506">
        <v>17444.680935660093</v>
      </c>
      <c r="K506">
        <v>474</v>
      </c>
      <c r="L506">
        <v>10516.467422708238</v>
      </c>
    </row>
    <row r="507" spans="2:12" x14ac:dyDescent="0.3">
      <c r="B507">
        <v>475</v>
      </c>
      <c r="C507">
        <v>8922.8773014091857</v>
      </c>
      <c r="E507">
        <v>475</v>
      </c>
      <c r="F507">
        <v>77923.232622870477</v>
      </c>
      <c r="H507">
        <v>475</v>
      </c>
      <c r="I507">
        <v>16628.691105657552</v>
      </c>
      <c r="K507">
        <v>475</v>
      </c>
      <c r="L507">
        <v>11910.465941121418</v>
      </c>
    </row>
    <row r="508" spans="2:12" x14ac:dyDescent="0.3">
      <c r="B508">
        <v>476</v>
      </c>
      <c r="C508">
        <v>4865.406566184387</v>
      </c>
      <c r="E508">
        <v>476</v>
      </c>
      <c r="F508">
        <v>72355.861235077289</v>
      </c>
      <c r="H508">
        <v>476</v>
      </c>
      <c r="I508">
        <v>11382.075010027476</v>
      </c>
      <c r="K508">
        <v>476</v>
      </c>
      <c r="L508">
        <v>26434.949201976811</v>
      </c>
    </row>
    <row r="509" spans="2:12" x14ac:dyDescent="0.3">
      <c r="B509">
        <v>477</v>
      </c>
      <c r="C509">
        <v>3897.0703250675697</v>
      </c>
      <c r="E509">
        <v>477</v>
      </c>
      <c r="F509">
        <v>77345.246315132288</v>
      </c>
      <c r="H509">
        <v>477</v>
      </c>
      <c r="I509">
        <v>2064.9227203852324</v>
      </c>
      <c r="K509">
        <v>477</v>
      </c>
      <c r="L509">
        <v>17468.614237289934</v>
      </c>
    </row>
    <row r="510" spans="2:12" x14ac:dyDescent="0.3">
      <c r="B510">
        <v>478</v>
      </c>
      <c r="C510">
        <v>3362.8933594193281</v>
      </c>
      <c r="E510">
        <v>478</v>
      </c>
      <c r="F510">
        <v>65890.227746676261</v>
      </c>
      <c r="H510">
        <v>478</v>
      </c>
      <c r="I510">
        <v>16179.551574319314</v>
      </c>
      <c r="K510">
        <v>478</v>
      </c>
      <c r="L510">
        <v>23506.582201213285</v>
      </c>
    </row>
    <row r="511" spans="2:12" x14ac:dyDescent="0.3">
      <c r="B511">
        <v>479</v>
      </c>
      <c r="C511">
        <v>10834.910318720133</v>
      </c>
      <c r="E511">
        <v>479</v>
      </c>
      <c r="F511">
        <v>74506.832031454018</v>
      </c>
      <c r="H511">
        <v>479</v>
      </c>
      <c r="I511">
        <v>8743.8093773353594</v>
      </c>
      <c r="K511">
        <v>479</v>
      </c>
      <c r="L511">
        <v>19926.055936816068</v>
      </c>
    </row>
    <row r="512" spans="2:12" x14ac:dyDescent="0.3">
      <c r="B512">
        <v>480</v>
      </c>
      <c r="C512">
        <v>4396.4031715773253</v>
      </c>
      <c r="E512">
        <v>480</v>
      </c>
      <c r="F512">
        <v>71016.15335222712</v>
      </c>
      <c r="H512">
        <v>480</v>
      </c>
      <c r="I512">
        <v>13673.572199703251</v>
      </c>
      <c r="K512">
        <v>480</v>
      </c>
      <c r="L512">
        <v>25635.076798687187</v>
      </c>
    </row>
    <row r="513" spans="2:12" x14ac:dyDescent="0.3">
      <c r="B513">
        <v>481</v>
      </c>
      <c r="C513">
        <v>3574.7943518301167</v>
      </c>
      <c r="E513">
        <v>481</v>
      </c>
      <c r="F513">
        <v>70865.650713626295</v>
      </c>
      <c r="H513">
        <v>481</v>
      </c>
      <c r="I513">
        <v>10591.953544871592</v>
      </c>
      <c r="K513">
        <v>481</v>
      </c>
      <c r="L513">
        <v>12139.488052694038</v>
      </c>
    </row>
    <row r="514" spans="2:12" x14ac:dyDescent="0.3">
      <c r="B514">
        <v>482</v>
      </c>
      <c r="C514">
        <v>9951.0946915842524</v>
      </c>
      <c r="E514">
        <v>482</v>
      </c>
      <c r="F514">
        <v>77929.855214805648</v>
      </c>
      <c r="H514">
        <v>482</v>
      </c>
      <c r="I514">
        <v>7513.0603268819059</v>
      </c>
      <c r="K514">
        <v>482</v>
      </c>
      <c r="L514">
        <v>15316.326653587321</v>
      </c>
    </row>
    <row r="515" spans="2:12" x14ac:dyDescent="0.3">
      <c r="B515">
        <v>483</v>
      </c>
      <c r="C515">
        <v>7171.323315600127</v>
      </c>
      <c r="E515">
        <v>483</v>
      </c>
      <c r="F515">
        <v>73715.753017974464</v>
      </c>
      <c r="H515">
        <v>483</v>
      </c>
      <c r="I515">
        <v>12774.512852195983</v>
      </c>
      <c r="K515">
        <v>483</v>
      </c>
      <c r="L515">
        <v>8956.7406916800755</v>
      </c>
    </row>
    <row r="516" spans="2:12" x14ac:dyDescent="0.3">
      <c r="B516">
        <v>484</v>
      </c>
      <c r="C516">
        <v>5127.1297982392634</v>
      </c>
      <c r="E516">
        <v>484</v>
      </c>
      <c r="F516">
        <v>70970.472747223001</v>
      </c>
      <c r="H516">
        <v>484</v>
      </c>
      <c r="I516">
        <v>13741.520090457399</v>
      </c>
      <c r="K516">
        <v>484</v>
      </c>
      <c r="L516">
        <v>12441.153447056096</v>
      </c>
    </row>
    <row r="517" spans="2:12" x14ac:dyDescent="0.3">
      <c r="B517">
        <v>485</v>
      </c>
      <c r="C517">
        <v>11211.982800694597</v>
      </c>
      <c r="E517">
        <v>485</v>
      </c>
      <c r="F517">
        <v>69083.945240709902</v>
      </c>
      <c r="H517">
        <v>485</v>
      </c>
      <c r="I517">
        <v>16176.042776239565</v>
      </c>
      <c r="K517">
        <v>485</v>
      </c>
      <c r="L517">
        <v>18895.846093458476</v>
      </c>
    </row>
    <row r="518" spans="2:12" x14ac:dyDescent="0.3">
      <c r="B518">
        <v>486</v>
      </c>
      <c r="C518">
        <v>3370.2508250456972</v>
      </c>
      <c r="E518">
        <v>486</v>
      </c>
      <c r="F518">
        <v>78158.580080901447</v>
      </c>
      <c r="H518">
        <v>486</v>
      </c>
      <c r="I518">
        <v>10197.788333445103</v>
      </c>
      <c r="K518">
        <v>486</v>
      </c>
      <c r="L518">
        <v>14532.167255954915</v>
      </c>
    </row>
    <row r="519" spans="2:12" x14ac:dyDescent="0.3">
      <c r="B519">
        <v>487</v>
      </c>
      <c r="C519">
        <v>4671.436073517606</v>
      </c>
      <c r="E519">
        <v>487</v>
      </c>
      <c r="F519">
        <v>71756.792746203791</v>
      </c>
      <c r="H519">
        <v>487</v>
      </c>
      <c r="I519">
        <v>19119.268708980329</v>
      </c>
      <c r="K519">
        <v>487</v>
      </c>
      <c r="L519">
        <v>20224.228710453935</v>
      </c>
    </row>
    <row r="520" spans="2:12" x14ac:dyDescent="0.3">
      <c r="B520">
        <v>488</v>
      </c>
      <c r="C520">
        <v>6443.7385371801656</v>
      </c>
      <c r="E520">
        <v>488</v>
      </c>
      <c r="F520">
        <v>65274.743839625386</v>
      </c>
      <c r="H520">
        <v>488</v>
      </c>
      <c r="I520">
        <v>9988.5961704548499</v>
      </c>
      <c r="K520">
        <v>488</v>
      </c>
      <c r="L520">
        <v>16715.301156644622</v>
      </c>
    </row>
    <row r="521" spans="2:12" x14ac:dyDescent="0.3">
      <c r="B521">
        <v>489</v>
      </c>
      <c r="C521">
        <v>3072.4068242360458</v>
      </c>
      <c r="E521">
        <v>489</v>
      </c>
      <c r="F521">
        <v>65848.131953900243</v>
      </c>
      <c r="H521">
        <v>489</v>
      </c>
      <c r="I521">
        <v>22289.302062407616</v>
      </c>
      <c r="K521">
        <v>489</v>
      </c>
      <c r="L521">
        <v>17209.784518369233</v>
      </c>
    </row>
    <row r="522" spans="2:12" x14ac:dyDescent="0.3">
      <c r="B522">
        <v>490</v>
      </c>
      <c r="C522">
        <v>9627.4675577300586</v>
      </c>
      <c r="E522">
        <v>490</v>
      </c>
      <c r="F522">
        <v>76733.744608095847</v>
      </c>
      <c r="H522">
        <v>490</v>
      </c>
      <c r="I522">
        <v>17965.472823240954</v>
      </c>
      <c r="K522">
        <v>490</v>
      </c>
      <c r="L522">
        <v>23431.967118227454</v>
      </c>
    </row>
    <row r="523" spans="2:12" x14ac:dyDescent="0.3">
      <c r="B523">
        <v>491</v>
      </c>
      <c r="C523">
        <v>7300.6933550745307</v>
      </c>
      <c r="E523">
        <v>491</v>
      </c>
      <c r="F523">
        <v>63180.612623884757</v>
      </c>
      <c r="H523">
        <v>491</v>
      </c>
      <c r="I523">
        <v>5807.1733872912009</v>
      </c>
      <c r="K523">
        <v>491</v>
      </c>
      <c r="L523">
        <v>23134.726853054472</v>
      </c>
    </row>
    <row r="524" spans="2:12" x14ac:dyDescent="0.3">
      <c r="B524">
        <v>492</v>
      </c>
      <c r="C524">
        <v>4315.5417256176006</v>
      </c>
      <c r="E524">
        <v>492</v>
      </c>
      <c r="F524">
        <v>67156.993279040151</v>
      </c>
      <c r="H524">
        <v>492</v>
      </c>
      <c r="I524">
        <v>16807.142079185265</v>
      </c>
      <c r="K524">
        <v>492</v>
      </c>
      <c r="L524">
        <v>13557.104451803445</v>
      </c>
    </row>
    <row r="525" spans="2:12" x14ac:dyDescent="0.3">
      <c r="B525">
        <v>493</v>
      </c>
      <c r="C525">
        <v>6403.6329875714337</v>
      </c>
      <c r="E525">
        <v>493</v>
      </c>
      <c r="F525">
        <v>70704.922506780451</v>
      </c>
      <c r="H525">
        <v>493</v>
      </c>
      <c r="I525">
        <v>17692.403330761972</v>
      </c>
      <c r="K525">
        <v>493</v>
      </c>
      <c r="L525">
        <v>21553.458079012402</v>
      </c>
    </row>
    <row r="526" spans="2:12" x14ac:dyDescent="0.3">
      <c r="B526">
        <v>494</v>
      </c>
      <c r="C526">
        <v>8247.0329163651568</v>
      </c>
      <c r="E526">
        <v>494</v>
      </c>
      <c r="F526">
        <v>77356.918479189975</v>
      </c>
      <c r="H526">
        <v>494</v>
      </c>
      <c r="I526">
        <v>19608.861004182887</v>
      </c>
      <c r="K526">
        <v>494</v>
      </c>
      <c r="L526">
        <v>25035.949761410113</v>
      </c>
    </row>
    <row r="527" spans="2:12" x14ac:dyDescent="0.3">
      <c r="B527">
        <v>495</v>
      </c>
      <c r="C527">
        <v>8070.9649760765251</v>
      </c>
      <c r="E527">
        <v>495</v>
      </c>
      <c r="F527">
        <v>69740.384128364458</v>
      </c>
      <c r="H527">
        <v>495</v>
      </c>
      <c r="I527">
        <v>12372.279399906263</v>
      </c>
      <c r="K527">
        <v>495</v>
      </c>
      <c r="L527">
        <v>20881.190919243356</v>
      </c>
    </row>
    <row r="528" spans="2:12" x14ac:dyDescent="0.3">
      <c r="B528">
        <v>496</v>
      </c>
      <c r="C528">
        <v>4932.6446635956509</v>
      </c>
      <c r="E528">
        <v>496</v>
      </c>
      <c r="F528">
        <v>65007.945596972859</v>
      </c>
      <c r="H528">
        <v>496</v>
      </c>
      <c r="I528">
        <v>18575.846464031114</v>
      </c>
      <c r="K528">
        <v>496</v>
      </c>
      <c r="L528">
        <v>10795.255221476305</v>
      </c>
    </row>
    <row r="529" spans="2:12" x14ac:dyDescent="0.3">
      <c r="B529">
        <v>497</v>
      </c>
      <c r="C529">
        <v>9528.3159389180637</v>
      </c>
      <c r="E529">
        <v>497</v>
      </c>
      <c r="F529">
        <v>75486.390367014988</v>
      </c>
      <c r="H529">
        <v>497</v>
      </c>
      <c r="I529">
        <v>17968.903684870125</v>
      </c>
      <c r="K529">
        <v>497</v>
      </c>
      <c r="L529">
        <v>19022.569116149327</v>
      </c>
    </row>
    <row r="530" spans="2:12" x14ac:dyDescent="0.3">
      <c r="B530">
        <v>498</v>
      </c>
      <c r="C530">
        <v>11106.147977581186</v>
      </c>
      <c r="E530">
        <v>498</v>
      </c>
      <c r="F530">
        <v>73737.113283649363</v>
      </c>
      <c r="H530">
        <v>498</v>
      </c>
      <c r="I530">
        <v>16082.117436268571</v>
      </c>
      <c r="K530">
        <v>498</v>
      </c>
      <c r="L530">
        <v>14974.125097323124</v>
      </c>
    </row>
    <row r="531" spans="2:12" x14ac:dyDescent="0.3">
      <c r="B531">
        <v>499</v>
      </c>
      <c r="C531">
        <v>6658.1453993152627</v>
      </c>
      <c r="E531">
        <v>499</v>
      </c>
      <c r="F531">
        <v>72485.060077243368</v>
      </c>
      <c r="H531">
        <v>499</v>
      </c>
      <c r="I531">
        <v>10482.593149060203</v>
      </c>
      <c r="K531">
        <v>499</v>
      </c>
      <c r="L531">
        <v>13483.982918279471</v>
      </c>
    </row>
    <row r="532" spans="2:12" x14ac:dyDescent="0.3">
      <c r="B532">
        <v>500</v>
      </c>
      <c r="C532">
        <v>11925.008272842766</v>
      </c>
      <c r="E532">
        <v>500</v>
      </c>
      <c r="F532">
        <v>72610.323094470441</v>
      </c>
      <c r="H532">
        <v>500</v>
      </c>
      <c r="I532">
        <v>5006.3023733658947</v>
      </c>
      <c r="K532">
        <v>500</v>
      </c>
      <c r="L532">
        <v>18400.082720129052</v>
      </c>
    </row>
  </sheetData>
  <pageMargins left="0.70866141732283472" right="0.70866141732283472" top="0.74803149606299213" bottom="0.74803149606299213" header="0.31496062992125984" footer="0.31496062992125984"/>
  <pageSetup paperSize="12" fitToWidth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7.3_Indian_Railway_Network_from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Swapnendu Chakraborty</dc:creator>
  <cp:lastModifiedBy>Swapnendu Chakraborty</cp:lastModifiedBy>
  <cp:lastPrinted>2023-10-15T21:12:02Z</cp:lastPrinted>
  <dcterms:created xsi:type="dcterms:W3CDTF">2023-10-12T10:16:45Z</dcterms:created>
  <dcterms:modified xsi:type="dcterms:W3CDTF">2023-10-15T21:13:37Z</dcterms:modified>
</cp:coreProperties>
</file>